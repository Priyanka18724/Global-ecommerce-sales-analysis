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39f7b85f82face/Desktop/DATA ANALYTIC PROJECT/"/>
    </mc:Choice>
  </mc:AlternateContent>
  <xr:revisionPtr revIDLastSave="3" documentId="13_ncr:40009_{2D8EA7CD-6F06-4B62-B055-129768E45F75}" xr6:coauthVersionLast="47" xr6:coauthVersionMax="47" xr10:uidLastSave="{381DB8A2-F4E9-4A9A-B684-D5702F950393}"/>
  <bookViews>
    <workbookView xWindow="-110" yWindow="-110" windowWidth="19420" windowHeight="10300" firstSheet="8" activeTab="11" xr2:uid="{00000000-000D-0000-FFFF-FFFF00000000}"/>
  </bookViews>
  <sheets>
    <sheet name="SalesData" sheetId="1" r:id="rId1"/>
    <sheet name="Sales by Product Category" sheetId="13" r:id="rId2"/>
    <sheet name="Profit by Product category" sheetId="12" r:id="rId3"/>
    <sheet name="Sales and Profit by Region" sheetId="4" r:id="rId4"/>
    <sheet name="Sales and Profit by Country" sheetId="5" r:id="rId5"/>
    <sheet name="Customer Segment " sheetId="6" r:id="rId6"/>
    <sheet name="Sales by Product Name" sheetId="7" r:id="rId7"/>
    <sheet name="Payment Method Analysis" sheetId="8" r:id="rId8"/>
    <sheet name="Monthly Sales Analysis" sheetId="9" r:id="rId9"/>
    <sheet name="Shipping cost Analysis" sheetId="11" r:id="rId10"/>
    <sheet name="Sales and Profit by Discount" sheetId="10" r:id="rId11"/>
    <sheet name="Analysis" sheetId="2" r:id="rId12"/>
  </sheets>
  <calcPr calcId="191029"/>
  <pivotCaches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<sst xmlns="http://schemas.openxmlformats.org/spreadsheetml/2006/main" count="16164" uniqueCount="3667">
  <si>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</si>
  <si>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</si>
  <si>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</si>
  <si>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</si>
  <si>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</si>
  <si>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</si>
  <si>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</si>
  <si>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</si>
  <si>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</si>
  <si>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</si>
  <si>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</si>
  <si>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</si>
  <si>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</si>
  <si>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</si>
  <si>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</si>
  <si>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</si>
  <si>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</si>
  <si>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</si>
  <si>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</si>
  <si>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</si>
  <si>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</si>
  <si>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</si>
  <si>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</si>
  <si>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</si>
  <si>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</si>
  <si>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</si>
  <si>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</si>
  <si>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</si>
  <si>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</si>
  <si>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</si>
  <si>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</si>
  <si>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</si>
  <si>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</si>
  <si>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</si>
  <si>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</si>
  <si>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</si>
  <si>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</si>
  <si>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</si>
  <si>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</si>
  <si>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</si>
  <si>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</si>
  <si>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</si>
  <si>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</si>
  <si>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</si>
  <si>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</si>
  <si>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</si>
  <si>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</si>
  <si>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</si>
  <si>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</si>
  <si>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</si>
  <si>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</si>
  <si>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</si>
  <si>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</si>
  <si>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</si>
  <si>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</si>
  <si>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</si>
  <si>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</si>
  <si>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</si>
  <si>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</si>
  <si>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</si>
  <si>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</si>
  <si>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</si>
  <si>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</si>
  <si>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</si>
  <si>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</si>
  <si>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</si>
  <si>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</si>
  <si>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</si>
  <si>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</si>
  <si>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</si>
  <si>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</si>
  <si>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</si>
  <si>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</si>
  <si>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</si>
  <si>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</si>
  <si>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</si>
  <si>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</si>
  <si>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</si>
  <si>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</si>
  <si>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</si>
  <si>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</si>
  <si>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</si>
  <si>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</si>
  <si>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</si>
  <si>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</si>
  <si>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</si>
  <si>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</si>
  <si>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</si>
  <si>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</si>
  <si>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</si>
  <si>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</si>
  <si>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</si>
  <si>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</si>
  <si>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</si>
  <si>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</si>
  <si>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</si>
  <si>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</si>
  <si>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</si>
  <si>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</si>
  <si>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</si>
  <si>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</si>
  <si>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</si>
  <si>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</si>
  <si>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</si>
  <si>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</si>
  <si>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</si>
  <si>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</si>
  <si>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</si>
  <si>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</si>
  <si>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</si>
  <si>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</si>
  <si>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</si>
  <si>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</si>
  <si>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</si>
  <si>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</si>
  <si>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</si>
  <si>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</si>
  <si>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</si>
  <si>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</si>
  <si>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</si>
  <si>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</si>
  <si>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</si>
  <si>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</si>
  <si>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</si>
  <si>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</si>
  <si>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</si>
  <si>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</si>
  <si>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</si>
  <si>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MÃ¼ller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</si>
  <si>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</si>
  <si>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</si>
  <si>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</si>
  <si>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</si>
  <si>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</si>
  <si>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</si>
  <si>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</si>
  <si>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</si>
  <si>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</si>
  <si>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</si>
  <si>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</si>
  <si>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</si>
  <si>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</si>
  <si>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</si>
  <si>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</si>
  <si>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</si>
  <si>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</si>
  <si>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</si>
  <si>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</si>
  <si>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</si>
  <si>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</si>
  <si>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</si>
  <si>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</si>
  <si>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</si>
  <si>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</si>
  <si>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</si>
  <si>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</si>
  <si>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</si>
  <si>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</si>
  <si>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</si>
  <si>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</si>
  <si>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</si>
  <si>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</si>
  <si>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</si>
  <si>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</si>
  <si>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</si>
  <si>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</si>
  <si>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</si>
  <si>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</si>
  <si>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</si>
  <si>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</si>
  <si>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</si>
  <si>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</si>
  <si>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</si>
  <si>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</si>
  <si>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</si>
  <si>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</si>
  <si>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</si>
  <si>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</si>
  <si>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</si>
  <si>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</si>
  <si>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</si>
  <si>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</si>
  <si>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</si>
  <si>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</si>
  <si>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</si>
  <si>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</si>
  <si>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</si>
  <si>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</si>
  <si>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</si>
  <si>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</si>
  <si>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</si>
  <si>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</si>
  <si>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</si>
  <si>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</si>
  <si>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</si>
  <si>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</si>
  <si>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</si>
  <si>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</si>
  <si>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</si>
  <si>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</si>
  <si>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</si>
  <si>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</si>
  <si>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</si>
  <si>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</si>
  <si>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</si>
  <si>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</si>
  <si>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</si>
  <si>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</si>
  <si>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</si>
  <si>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</si>
  <si>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</si>
  <si>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</si>
  <si>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</si>
  <si>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</si>
  <si>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</si>
  <si>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</si>
  <si>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</si>
  <si>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</si>
  <si>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</si>
  <si>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</si>
  <si>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</si>
  <si>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</si>
  <si>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</si>
  <si>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</si>
  <si>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</si>
  <si>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MÃ¼ller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</si>
  <si>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</si>
  <si>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</si>
  <si>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</si>
  <si>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</si>
  <si>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</si>
  <si>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</si>
  <si>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</si>
  <si>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</si>
  <si>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</si>
  <si>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</si>
  <si>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</si>
  <si>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</si>
  <si>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</si>
  <si>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</si>
  <si>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</si>
  <si>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</si>
  <si>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</si>
  <si>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</si>
  <si>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</si>
  <si>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</si>
  <si>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</si>
  <si>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</si>
  <si>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</si>
  <si>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</si>
  <si>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</si>
  <si>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</si>
  <si>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</si>
  <si>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</si>
  <si>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</si>
  <si>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</si>
  <si>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</si>
  <si>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</si>
  <si>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</si>
  <si>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</si>
  <si>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</si>
  <si>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</si>
  <si>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</si>
  <si>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MÃ¼ller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</si>
  <si>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</si>
  <si>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</si>
  <si>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</si>
  <si>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</si>
  <si>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</si>
  <si>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</si>
  <si>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</si>
  <si>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</si>
  <si>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</si>
  <si>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</si>
  <si>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</si>
  <si>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</si>
  <si>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</si>
  <si>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</si>
  <si>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</si>
  <si>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</si>
  <si>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</si>
  <si>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</si>
  <si>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</si>
  <si>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</si>
  <si>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</si>
  <si>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</si>
  <si>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</si>
  <si>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</si>
  <si>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</si>
  <si>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</si>
  <si>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</si>
  <si>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</si>
  <si>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</si>
  <si>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</si>
  <si>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</si>
  <si>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</si>
  <si>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</si>
  <si>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</si>
  <si>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</si>
  <si>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</si>
  <si>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</si>
  <si>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</si>
  <si>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</si>
  <si>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</si>
  <si>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</si>
  <si>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</si>
  <si>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</si>
  <si>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</si>
  <si>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</si>
  <si>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</si>
  <si>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</si>
  <si>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</si>
  <si>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</si>
  <si>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</si>
  <si>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</si>
  <si>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</si>
  <si>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</si>
  <si>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</si>
  <si>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</si>
  <si>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</si>
  <si>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</si>
  <si>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</si>
  <si>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</si>
  <si>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</si>
  <si>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</si>
  <si>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</si>
  <si>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</si>
  <si>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</si>
  <si>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</si>
  <si>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</si>
  <si>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</si>
  <si>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</si>
  <si>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</si>
  <si>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</si>
  <si>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</si>
  <si>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</si>
  <si>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</si>
  <si>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</si>
  <si>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</si>
  <si>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</si>
  <si>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</si>
  <si>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</si>
  <si>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</si>
  <si>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</si>
  <si>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</si>
  <si>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</si>
  <si>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</si>
  <si>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</si>
  <si>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</si>
  <si>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</si>
  <si>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</si>
  <si>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</si>
  <si>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</si>
  <si>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</si>
  <si>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</si>
  <si>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</si>
  <si>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</si>
  <si>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</si>
  <si>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</si>
  <si>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</si>
  <si>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</si>
  <si>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</si>
  <si>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</si>
  <si>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</si>
  <si>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</si>
  <si>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</si>
  <si>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</si>
  <si>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</si>
  <si>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</si>
  <si>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</si>
  <si>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</si>
  <si>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</si>
  <si>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</si>
  <si>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</si>
  <si>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</si>
  <si>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</si>
  <si>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</si>
  <si>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</si>
  <si>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</si>
  <si>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</si>
  <si>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</si>
  <si>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</si>
  <si>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</si>
  <si>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</si>
  <si>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</si>
  <si>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</si>
  <si>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</si>
  <si>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</si>
  <si>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</si>
  <si>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</si>
  <si>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</si>
  <si>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</si>
  <si>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</si>
  <si>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</si>
  <si>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</si>
  <si>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</si>
  <si>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</si>
  <si>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</si>
  <si>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</si>
  <si>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</si>
  <si>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</si>
  <si>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</si>
  <si>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</si>
  <si>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</si>
  <si>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</si>
  <si>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</si>
  <si>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</si>
  <si>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</si>
  <si>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</si>
  <si>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</si>
  <si>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</si>
  <si>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</si>
  <si>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</si>
  <si>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</si>
  <si>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</si>
  <si>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MÃ¼ller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</si>
  <si>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</si>
  <si>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</si>
  <si>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</si>
  <si>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</si>
  <si>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</si>
  <si>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</si>
  <si>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</si>
  <si>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</si>
  <si>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</si>
  <si>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</si>
  <si>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</si>
  <si>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</si>
  <si>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</si>
  <si>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</si>
  <si>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</si>
  <si>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</si>
  <si>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</si>
  <si>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</si>
  <si>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</si>
  <si>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</si>
  <si>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</si>
  <si>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</si>
  <si>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</si>
  <si>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</si>
  <si>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</si>
  <si>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</si>
  <si>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</si>
  <si>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</si>
  <si>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</si>
  <si>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</si>
  <si>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</si>
  <si>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</si>
  <si>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</si>
  <si>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</si>
  <si>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</si>
  <si>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</si>
  <si>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</si>
  <si>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</si>
  <si>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</si>
  <si>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</si>
  <si>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</si>
  <si>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</si>
  <si>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</si>
  <si>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</si>
  <si>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</si>
  <si>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</si>
  <si>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</si>
  <si>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</si>
  <si>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</si>
  <si>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</si>
  <si>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</si>
  <si>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</si>
  <si>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</si>
  <si>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</si>
  <si>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</si>
  <si>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</si>
  <si>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</si>
  <si>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</si>
  <si>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</si>
  <si>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</si>
  <si>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</si>
  <si>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</si>
  <si>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</si>
  <si>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</si>
  <si>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</si>
  <si>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</si>
  <si>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</si>
  <si>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</si>
  <si>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</si>
  <si>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</si>
  <si>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</si>
  <si>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</si>
  <si>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</si>
  <si>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</si>
  <si>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</si>
  <si>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</si>
  <si>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</si>
  <si>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</si>
  <si>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</si>
  <si>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</si>
  <si>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</si>
  <si>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</si>
  <si>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</si>
  <si>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</si>
  <si>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</si>
  <si>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</si>
  <si>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</si>
  <si>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</si>
  <si>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</si>
  <si>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</si>
  <si>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</si>
  <si>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</si>
  <si>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</si>
  <si>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</si>
  <si>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</si>
  <si>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</si>
  <si>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</si>
  <si>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</si>
  <si>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</si>
  <si>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</si>
  <si>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</si>
  <si>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</si>
  <si>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</si>
  <si>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</si>
  <si>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</si>
  <si>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</si>
  <si>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</si>
  <si>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</si>
  <si>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</si>
  <si>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</si>
  <si>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</si>
  <si>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</si>
  <si>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</si>
  <si>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</si>
  <si>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</si>
  <si>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</si>
  <si>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</si>
  <si>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</si>
  <si>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</si>
  <si>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</si>
  <si>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</si>
  <si>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</si>
  <si>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</si>
  <si>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</si>
  <si>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</si>
  <si>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</si>
  <si>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</si>
  <si>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</si>
  <si>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</si>
  <si>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</si>
  <si>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</si>
  <si>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</si>
  <si>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</si>
  <si>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</si>
  <si>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</si>
  <si>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</si>
  <si>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</si>
  <si>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</si>
  <si>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</si>
  <si>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</si>
  <si>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</si>
  <si>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</si>
  <si>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</si>
  <si>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</si>
  <si>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</si>
  <si>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</si>
  <si>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</si>
  <si>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</si>
  <si>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</si>
  <si>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</si>
  <si>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</si>
  <si>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</si>
  <si>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</si>
  <si>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</si>
  <si>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</si>
  <si>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</si>
  <si>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</si>
  <si>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</si>
  <si>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</si>
  <si>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</si>
  <si>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</si>
  <si>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</si>
  <si>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</si>
  <si>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</si>
  <si>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</si>
  <si>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</si>
  <si>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</si>
  <si>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</si>
  <si>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</si>
  <si>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</si>
  <si>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</si>
  <si>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</si>
  <si>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</si>
  <si>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</si>
  <si>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</si>
  <si>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</si>
  <si>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</si>
  <si>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</si>
  <si>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</si>
  <si>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</si>
  <si>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</si>
  <si>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</si>
  <si>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</si>
  <si>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</si>
  <si>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</si>
  <si>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</si>
  <si>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</si>
  <si>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</si>
  <si>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</si>
  <si>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</si>
  <si>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</si>
  <si>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</si>
  <si>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</si>
  <si>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</si>
  <si>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</si>
  <si>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</si>
  <si>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</si>
  <si>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</si>
  <si>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</si>
  <si>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</si>
  <si>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</si>
  <si>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</si>
  <si>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</si>
  <si>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</si>
  <si>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</si>
  <si>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</si>
  <si>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</si>
  <si>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</si>
  <si>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</si>
  <si>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</si>
  <si>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</si>
  <si>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</si>
  <si>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</si>
  <si>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</si>
  <si>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</si>
  <si>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</si>
  <si>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</si>
  <si>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</si>
  <si>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</si>
  <si>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</si>
  <si>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</si>
  <si>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</si>
  <si>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</si>
  <si>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</si>
  <si>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</si>
  <si>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</si>
  <si>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</si>
  <si>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</si>
  <si>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</si>
  <si>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</si>
  <si>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</si>
  <si>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</si>
  <si>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</si>
  <si>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</si>
  <si>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</si>
  <si>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</si>
  <si>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</si>
  <si>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</si>
  <si>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</si>
  <si>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</si>
  <si>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</si>
  <si>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</si>
  <si>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</si>
  <si>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</si>
  <si>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</si>
  <si>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</si>
  <si>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</si>
  <si>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</si>
  <si>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</si>
  <si>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</si>
  <si>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</si>
  <si>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</si>
  <si>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</si>
  <si>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</si>
  <si>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</si>
  <si>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</si>
  <si>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</si>
  <si>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</si>
  <si>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</si>
  <si>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</si>
  <si>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</si>
  <si>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</si>
  <si>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</si>
  <si>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</si>
  <si>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</si>
  <si>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</si>
  <si>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</si>
  <si>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</si>
  <si>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</si>
  <si>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</si>
  <si>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</si>
  <si>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</si>
  <si>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</si>
  <si>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</si>
  <si>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</si>
  <si>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</si>
  <si>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</si>
  <si>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</si>
  <si>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</si>
  <si>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</si>
  <si>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</si>
  <si>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</si>
  <si>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</si>
  <si>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</si>
  <si>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</si>
  <si>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</si>
  <si>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</si>
  <si>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</si>
  <si>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</si>
  <si>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</si>
  <si>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</si>
  <si>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</si>
  <si>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</si>
  <si>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</si>
  <si>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</si>
  <si>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</si>
  <si>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</si>
  <si>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</si>
  <si>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</si>
  <si>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</si>
  <si>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</si>
  <si>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</si>
  <si>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</si>
  <si>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</si>
  <si>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</si>
  <si>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</si>
  <si>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</si>
  <si>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</si>
  <si>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</si>
  <si>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</si>
  <si>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</si>
  <si>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</si>
  <si>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</si>
  <si>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</si>
  <si>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</si>
  <si>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</si>
  <si>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</si>
  <si>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</si>
  <si>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</si>
  <si>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</si>
  <si>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</si>
  <si>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</si>
  <si>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</si>
  <si>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</si>
  <si>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</si>
  <si>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</si>
  <si>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</si>
  <si>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</si>
  <si>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</si>
  <si>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</si>
  <si>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MÃ¼ller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</si>
  <si>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</si>
  <si>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</si>
  <si>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</si>
  <si>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</si>
  <si>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</si>
  <si>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</si>
  <si>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</si>
  <si>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</si>
  <si>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</si>
  <si>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</si>
  <si>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</si>
  <si>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</si>
  <si>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</si>
  <si>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</si>
  <si>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</si>
  <si>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</si>
  <si>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</si>
  <si>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</si>
  <si>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</si>
  <si>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</si>
  <si>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</si>
  <si>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</si>
  <si>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</si>
  <si>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</si>
  <si>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</si>
  <si>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</si>
  <si>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</si>
  <si>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</si>
  <si>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</si>
  <si>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</si>
  <si>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</si>
  <si>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</si>
  <si>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</si>
  <si>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</si>
  <si>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</si>
  <si>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</si>
  <si>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</si>
  <si>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</si>
  <si>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</si>
  <si>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</si>
  <si>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</si>
  <si>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</si>
  <si>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</si>
  <si>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</si>
  <si>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</si>
  <si>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</si>
  <si>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</si>
  <si>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</si>
  <si>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</si>
  <si>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</si>
  <si>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</si>
  <si>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</si>
  <si>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</si>
  <si>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</si>
  <si>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</si>
  <si>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</si>
  <si>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</si>
  <si>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</si>
  <si>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</si>
  <si>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</si>
  <si>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</si>
  <si>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</si>
  <si>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</si>
  <si>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</si>
  <si>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</si>
  <si>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</si>
  <si>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</si>
  <si>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</si>
  <si>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</si>
  <si>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</si>
  <si>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</si>
  <si>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</si>
  <si>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</si>
  <si>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</si>
  <si>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</si>
  <si>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</si>
  <si>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</si>
  <si>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</si>
  <si>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</si>
  <si>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</si>
  <si>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</si>
  <si>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</si>
  <si>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</si>
  <si>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</si>
  <si>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</si>
  <si>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</si>
  <si>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</si>
  <si>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</si>
  <si>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</si>
  <si>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</si>
  <si>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</si>
  <si>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</si>
  <si>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</si>
  <si>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</si>
  <si>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</si>
  <si>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</si>
  <si>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</si>
  <si>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</si>
  <si>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</si>
  <si>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</si>
  <si>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</si>
  <si>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</si>
  <si>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</si>
  <si>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</si>
  <si>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</si>
  <si>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</si>
  <si>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</si>
  <si>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</si>
  <si>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</si>
  <si>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</si>
  <si>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</si>
  <si>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</si>
  <si>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</si>
  <si>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</si>
  <si>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</si>
  <si>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</si>
  <si>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</si>
  <si>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</si>
  <si>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</si>
  <si>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</si>
  <si>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</si>
  <si>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</si>
  <si>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</si>
  <si>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</si>
  <si>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</si>
  <si>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</si>
  <si>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</si>
  <si>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</si>
  <si>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</si>
  <si>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</si>
  <si>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</si>
  <si>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</si>
  <si>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</si>
  <si>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</si>
  <si>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</si>
  <si>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</si>
  <si>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</si>
  <si>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</si>
  <si>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</si>
  <si>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</si>
  <si>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</si>
  <si>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</si>
  <si>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</si>
  <si>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</si>
  <si>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</si>
  <si>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</si>
  <si>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</si>
  <si>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</si>
  <si>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</si>
  <si>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</si>
  <si>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</si>
  <si>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</si>
  <si>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</si>
  <si>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</si>
  <si>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</si>
  <si>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</si>
  <si>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</si>
  <si>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</si>
  <si>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</si>
  <si>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</si>
  <si>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</si>
  <si>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</si>
  <si>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</si>
  <si>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</si>
  <si>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</si>
  <si>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</si>
  <si>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</si>
  <si>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</si>
  <si>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</si>
  <si>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</si>
  <si>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</si>
  <si>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</si>
  <si>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</si>
  <si>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</si>
  <si>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</si>
  <si>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</si>
  <si>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</si>
  <si>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</si>
  <si>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</si>
  <si>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</si>
  <si>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</si>
  <si>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</si>
  <si>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</si>
  <si>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</si>
  <si>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</si>
  <si>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</si>
  <si>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</si>
  <si>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</si>
  <si>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</si>
  <si>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</si>
  <si>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</si>
  <si>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</si>
  <si>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</si>
  <si>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</si>
  <si>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</si>
  <si>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</si>
  <si>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</si>
  <si>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</si>
  <si>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</si>
  <si>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</si>
  <si>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</si>
  <si>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</si>
  <si>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</si>
  <si>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</si>
  <si>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</si>
  <si>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</si>
  <si>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</si>
  <si>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</si>
  <si>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</si>
  <si>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</si>
  <si>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</si>
  <si>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</si>
  <si>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</si>
  <si>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</si>
  <si>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</si>
  <si>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</si>
  <si>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</si>
  <si>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</si>
  <si>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</si>
  <si>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</si>
  <si>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</si>
  <si>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</si>
  <si>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</si>
  <si>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</si>
  <si>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</si>
  <si>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</si>
  <si>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</si>
  <si>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</si>
  <si>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</si>
  <si>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</si>
  <si>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</si>
  <si>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</si>
  <si>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</si>
  <si>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</si>
  <si>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</si>
  <si>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</si>
  <si>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</si>
  <si>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</si>
  <si>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</si>
  <si>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</si>
  <si>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</si>
  <si>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</si>
  <si>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</si>
  <si>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</si>
  <si>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</si>
  <si>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</si>
  <si>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</si>
  <si>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</si>
  <si>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</si>
  <si>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</si>
  <si>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</si>
  <si>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</si>
  <si>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</si>
  <si>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</si>
  <si>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</si>
  <si>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</si>
  <si>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</si>
  <si>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</si>
  <si>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</si>
  <si>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</si>
  <si>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</si>
  <si>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</si>
  <si>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</si>
  <si>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</si>
  <si>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</si>
  <si>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</si>
  <si>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</si>
  <si>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</si>
  <si>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</si>
  <si>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</si>
  <si>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</si>
  <si>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</si>
  <si>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</si>
  <si>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</si>
  <si>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</si>
  <si>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</si>
  <si>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</si>
  <si>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</si>
  <si>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</si>
  <si>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</si>
  <si>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</si>
  <si>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</si>
  <si>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</si>
  <si>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</si>
  <si>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</si>
  <si>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</si>
  <si>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</si>
  <si>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</si>
  <si>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</si>
  <si>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</si>
  <si>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</si>
  <si>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</si>
  <si>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</si>
  <si>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</si>
  <si>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</si>
  <si>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</si>
  <si>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</si>
  <si>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</si>
  <si>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</si>
  <si>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</si>
  <si>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</si>
  <si>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</si>
  <si>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</si>
  <si>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</si>
  <si>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</si>
  <si>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</si>
  <si>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</si>
  <si>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</si>
  <si>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</si>
  <si>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</si>
  <si>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</si>
  <si>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</si>
  <si>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</si>
  <si>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</si>
  <si>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</si>
  <si>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</si>
  <si>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</si>
  <si>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</si>
  <si>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</si>
  <si>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MÃ¼ller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</si>
  <si>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</si>
  <si>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</si>
  <si>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</si>
  <si>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</si>
  <si>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</si>
  <si>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</si>
  <si>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</si>
  <si>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</si>
  <si>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</si>
  <si>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</si>
  <si>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</si>
  <si>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</si>
  <si>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</si>
  <si>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</si>
  <si>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</si>
  <si>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MÃ¼ller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</si>
  <si>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</si>
  <si>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</si>
  <si>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</si>
  <si>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</si>
  <si>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</si>
  <si>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</si>
  <si>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</si>
  <si>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</si>
  <si>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</si>
  <si>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</si>
  <si>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</si>
  <si>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</si>
  <si>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</si>
  <si>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</si>
  <si>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</si>
  <si>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</si>
  <si>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</si>
  <si>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</si>
  <si>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</si>
  <si>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</si>
  <si>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</si>
  <si>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</si>
  <si>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</si>
  <si>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</si>
  <si>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</si>
  <si>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</si>
  <si>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</si>
  <si>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</si>
  <si>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</si>
  <si>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</si>
  <si>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</si>
  <si>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</si>
  <si>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</si>
  <si>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</si>
  <si>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</si>
  <si>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</si>
  <si>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</si>
  <si>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MÃ¼ller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</si>
  <si>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</si>
  <si>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</si>
  <si>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</si>
  <si>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</si>
  <si>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</si>
  <si>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</si>
  <si>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</si>
  <si>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</si>
  <si>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</si>
  <si>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</si>
  <si>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</si>
  <si>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</si>
  <si>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</si>
  <si>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</si>
  <si>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</si>
  <si>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</si>
  <si>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</si>
  <si>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</si>
  <si>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</si>
  <si>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</si>
  <si>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</si>
  <si>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</si>
  <si>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</si>
  <si>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</si>
  <si>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</si>
  <si>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</si>
  <si>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</si>
  <si>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</si>
  <si>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</si>
  <si>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</si>
  <si>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</si>
  <si>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</si>
  <si>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</si>
  <si>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</si>
  <si>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</si>
  <si>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</si>
  <si>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</si>
  <si>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</si>
  <si>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</si>
  <si>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</si>
  <si>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</si>
  <si>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</si>
  <si>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</si>
  <si>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</si>
  <si>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</si>
  <si>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</si>
  <si>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</si>
  <si>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</si>
  <si>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</si>
  <si>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</si>
  <si>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</si>
  <si>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</si>
  <si>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</si>
  <si>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</si>
  <si>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</si>
  <si>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</si>
  <si>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</si>
  <si>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</si>
  <si>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</si>
  <si>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</si>
  <si>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</si>
  <si>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</si>
  <si>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</si>
  <si>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</si>
  <si>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</si>
  <si>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</si>
  <si>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</si>
  <si>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</si>
  <si>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</si>
  <si>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</si>
  <si>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</si>
  <si>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</si>
  <si>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</si>
  <si>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</si>
  <si>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</si>
  <si>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</si>
  <si>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</si>
  <si>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</si>
  <si>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</si>
  <si>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</si>
  <si>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</si>
  <si>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</si>
  <si>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</si>
  <si>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</si>
  <si>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</si>
  <si>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</si>
  <si>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</si>
  <si>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</si>
  <si>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</si>
  <si>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</si>
  <si>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</si>
  <si>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</si>
  <si>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</si>
  <si>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</si>
  <si>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</si>
  <si>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</si>
  <si>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</si>
  <si>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</si>
  <si>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</si>
  <si>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</si>
  <si>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</si>
  <si>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</si>
  <si>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</si>
  <si>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</si>
  <si>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</si>
  <si>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</si>
  <si>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</si>
  <si>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</si>
  <si>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</si>
  <si>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</si>
  <si>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</si>
  <si>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</si>
  <si>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</si>
  <si>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</si>
  <si>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</si>
  <si>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</si>
  <si>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</si>
  <si>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</si>
  <si>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</si>
  <si>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</si>
  <si>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</si>
  <si>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</si>
  <si>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</si>
  <si>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</si>
  <si>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</si>
  <si>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</si>
  <si>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</si>
  <si>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</si>
  <si>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</si>
  <si>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</si>
  <si>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</si>
  <si>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</si>
  <si>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</si>
  <si>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</si>
  <si>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</si>
  <si>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</si>
  <si>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</si>
  <si>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</si>
  <si>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</si>
  <si>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</si>
  <si>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</si>
  <si>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</si>
  <si>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</si>
  <si>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</si>
  <si>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</si>
  <si>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</si>
  <si>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</si>
  <si>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</si>
  <si>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</si>
  <si>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</si>
  <si>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</si>
  <si>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</si>
  <si>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</si>
  <si>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</si>
  <si>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</si>
  <si>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</si>
  <si>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</si>
  <si>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</si>
  <si>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</si>
  <si>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</si>
  <si>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</si>
  <si>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</si>
  <si>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</si>
  <si>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</si>
  <si>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</si>
  <si>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</si>
  <si>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</si>
  <si>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</si>
  <si>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</si>
  <si>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</si>
  <si>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</si>
  <si>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</si>
  <si>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</si>
  <si>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</si>
  <si>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</si>
  <si>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</si>
  <si>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</si>
  <si>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</si>
  <si>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</si>
  <si>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</si>
  <si>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</si>
  <si>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</si>
  <si>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</si>
  <si>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</si>
  <si>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</si>
  <si>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</si>
  <si>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</si>
  <si>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</si>
  <si>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</si>
  <si>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</si>
  <si>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</si>
  <si>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</si>
  <si>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</si>
  <si>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</si>
  <si>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</si>
  <si>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</si>
  <si>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</si>
  <si>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</si>
  <si>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</si>
  <si>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</si>
  <si>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</si>
  <si>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</si>
  <si>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</si>
  <si>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</si>
  <si>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</si>
  <si>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</si>
  <si>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</si>
  <si>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</si>
  <si>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</si>
  <si>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</si>
  <si>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</si>
  <si>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</si>
  <si>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</si>
  <si>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</si>
  <si>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</si>
  <si>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</si>
  <si>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</si>
  <si>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</si>
  <si>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</si>
  <si>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</si>
  <si>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</si>
  <si>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</si>
  <si>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</si>
  <si>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</si>
  <si>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</si>
  <si>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</si>
  <si>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</si>
  <si>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</si>
  <si>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</si>
  <si>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</si>
  <si>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</si>
  <si>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</si>
  <si>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</si>
  <si>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</si>
  <si>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</si>
  <si>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</si>
  <si>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</si>
  <si>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</si>
  <si>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</si>
  <si>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</si>
  <si>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</si>
  <si>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</si>
  <si>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</si>
  <si>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</si>
  <si>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</si>
  <si>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</si>
  <si>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</si>
  <si>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</si>
  <si>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</si>
  <si>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</si>
  <si>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</si>
  <si>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</si>
  <si>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</si>
  <si>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</si>
  <si>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</si>
  <si>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</si>
  <si>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</si>
  <si>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</si>
  <si>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</si>
  <si>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</si>
  <si>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</si>
  <si>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</si>
  <si>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</si>
  <si>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</si>
  <si>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</si>
  <si>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</si>
  <si>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</si>
  <si>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</si>
  <si>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</si>
  <si>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</si>
  <si>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</si>
  <si>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</si>
  <si>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</si>
  <si>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</si>
  <si>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</si>
  <si>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</si>
  <si>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</si>
  <si>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</si>
  <si>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</si>
  <si>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</si>
  <si>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</si>
  <si>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MÃ¼ller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</si>
  <si>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</si>
  <si>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</si>
  <si>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</si>
  <si>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</si>
  <si>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</si>
  <si>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</si>
  <si>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</si>
  <si>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</si>
  <si>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</si>
  <si>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</si>
  <si>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</si>
  <si>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</si>
  <si>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</si>
  <si>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</si>
  <si>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</si>
  <si>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</si>
  <si>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</si>
  <si>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</si>
  <si>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</si>
  <si>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</si>
  <si>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</si>
  <si>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</si>
  <si>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</si>
  <si>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</si>
  <si>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</si>
  <si>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</si>
  <si>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</si>
  <si>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</si>
  <si>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</si>
  <si>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</si>
  <si>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</si>
  <si>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</si>
  <si>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</si>
  <si>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MÃ¼ller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</si>
  <si>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</si>
  <si>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</si>
  <si>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</si>
  <si>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</si>
  <si>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</si>
  <si>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</si>
  <si>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</si>
  <si>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</si>
  <si>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</si>
  <si>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</si>
  <si>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</si>
  <si>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</si>
  <si>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</si>
  <si>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</si>
  <si>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</si>
  <si>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</si>
  <si>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</si>
  <si>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</si>
  <si>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</si>
  <si>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</si>
  <si>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</si>
  <si>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</si>
  <si>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</si>
  <si>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</si>
  <si>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</si>
  <si>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</si>
  <si>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</si>
  <si>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</si>
  <si>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</si>
  <si>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</si>
  <si>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</si>
  <si>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</si>
  <si>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</si>
  <si>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</si>
  <si>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</si>
  <si>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</si>
  <si>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</si>
  <si>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</si>
  <si>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</si>
  <si>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</si>
  <si>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</si>
  <si>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</si>
  <si>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</si>
  <si>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</si>
  <si>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</si>
  <si>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</si>
  <si>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</si>
  <si>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</si>
  <si>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</si>
  <si>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</si>
  <si>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</si>
  <si>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</si>
  <si>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</si>
  <si>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</si>
  <si>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</si>
  <si>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</si>
  <si>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</si>
  <si>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</si>
  <si>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</si>
  <si>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</si>
  <si>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</si>
  <si>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</si>
  <si>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</si>
  <si>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</si>
  <si>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</si>
  <si>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</si>
  <si>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</si>
  <si>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</si>
  <si>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</si>
  <si>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</si>
  <si>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</si>
  <si>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</si>
  <si>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</si>
  <si>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</si>
  <si>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</si>
  <si>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</si>
  <si>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</si>
  <si>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</si>
  <si>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</si>
  <si>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</si>
  <si>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</si>
  <si>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</si>
  <si>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</si>
  <si>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</si>
  <si>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</si>
  <si>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</si>
  <si>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</si>
  <si>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</si>
  <si>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</si>
  <si>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</si>
  <si>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</si>
  <si>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</si>
  <si>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</si>
  <si>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</si>
  <si>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</si>
  <si>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</si>
  <si>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</si>
  <si>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</si>
  <si>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</si>
  <si>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</si>
  <si>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</si>
  <si>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</si>
  <si>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</si>
  <si>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</si>
  <si>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</si>
  <si>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</si>
  <si>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</si>
  <si>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</si>
  <si>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</si>
  <si>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</si>
  <si>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</si>
  <si>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</si>
  <si>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</si>
  <si>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</si>
  <si>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</si>
  <si>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</si>
  <si>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</si>
  <si>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</si>
  <si>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</si>
  <si>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</si>
  <si>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</si>
  <si>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</si>
  <si>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</si>
  <si>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</si>
  <si>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</si>
  <si>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</si>
  <si>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MÃ¼ller</t>
  </si>
  <si>
    <t>ORD-10573</t>
  </si>
  <si>
    <t>Hanna Brown</t>
  </si>
  <si>
    <t>ORD-11179</t>
  </si>
  <si>
    <t>Noah MÃ¼ller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</si>
  <si>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</si>
  <si>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</si>
  <si>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</si>
  <si>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</si>
  <si>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</si>
  <si>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</si>
  <si>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</si>
  <si>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</si>
  <si>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</si>
  <si>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</si>
  <si>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</si>
  <si>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</si>
  <si>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</si>
  <si>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</si>
  <si>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</si>
  <si>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</si>
  <si>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</si>
  <si>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</si>
  <si>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</si>
  <si>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</si>
  <si>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</si>
  <si>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</si>
  <si>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</si>
  <si>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</si>
  <si>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</si>
  <si>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</si>
  <si>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</si>
  <si>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</si>
  <si>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</si>
  <si>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</si>
  <si>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</si>
  <si>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</si>
  <si>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</si>
  <si>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</si>
  <si>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</si>
  <si>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</si>
  <si>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</si>
  <si>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</si>
  <si>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</si>
  <si>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</si>
  <si>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</si>
  <si>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</si>
  <si>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</si>
  <si>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</si>
  <si>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</si>
  <si>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</si>
  <si>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</si>
  <si>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</si>
  <si>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</si>
  <si>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</si>
  <si>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</si>
  <si>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</si>
  <si>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</si>
  <si>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</si>
  <si>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</si>
  <si>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</si>
  <si>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</si>
  <si>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</si>
  <si>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</si>
  <si>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</si>
  <si>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</si>
  <si>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</si>
  <si>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</si>
  <si>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</si>
  <si>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</si>
  <si>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</si>
  <si>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</si>
  <si>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</si>
  <si>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</si>
  <si>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</si>
  <si>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</si>
  <si>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</si>
  <si>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</si>
  <si>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</si>
  <si>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</si>
  <si>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</si>
  <si>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</si>
  <si>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</si>
  <si>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</si>
  <si>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</si>
  <si>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</si>
  <si>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</si>
  <si>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</si>
  <si>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</si>
  <si>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</si>
  <si>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MÃ¼ller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</si>
  <si>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</si>
  <si>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</si>
  <si>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</si>
  <si>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</si>
  <si>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</si>
  <si>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</si>
  <si>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</si>
  <si>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</si>
  <si>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</si>
  <si>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</si>
  <si>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</si>
  <si>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</si>
  <si>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</si>
  <si>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</si>
  <si>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</si>
  <si>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</si>
  <si>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</si>
  <si>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</si>
  <si>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</si>
  <si>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</si>
  <si>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</si>
  <si>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</si>
  <si>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</si>
  <si>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</si>
  <si>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</si>
  <si>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</si>
  <si>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</si>
  <si>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</si>
  <si>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</si>
  <si>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</si>
  <si>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</si>
  <si>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</si>
  <si>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</si>
  <si>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</si>
  <si>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</si>
  <si>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</si>
  <si>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</si>
  <si>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</si>
  <si>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</si>
  <si>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</si>
  <si>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</si>
  <si>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</si>
  <si>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</si>
  <si>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</si>
  <si>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</si>
  <si>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</si>
  <si>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</si>
  <si>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</si>
  <si>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</si>
  <si>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</si>
  <si>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</si>
  <si>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</si>
  <si>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</si>
  <si>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</si>
  <si>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</si>
  <si>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</si>
  <si>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</si>
  <si>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</si>
  <si>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</si>
  <si>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</si>
  <si>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</si>
  <si>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</si>
  <si>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</si>
  <si>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</si>
  <si>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</si>
  <si>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</si>
  <si>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</si>
  <si>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</si>
  <si>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</si>
  <si>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</si>
  <si>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</si>
  <si>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</si>
  <si>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</si>
  <si>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</si>
  <si>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</si>
  <si>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</si>
  <si>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</si>
  <si>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</si>
  <si>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</si>
  <si>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</si>
  <si>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</si>
  <si>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</si>
  <si>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</si>
  <si>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</si>
  <si>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</si>
  <si>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</si>
  <si>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</si>
  <si>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</si>
  <si>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</si>
  <si>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</si>
  <si>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</si>
  <si>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</si>
  <si>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</si>
  <si>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</si>
  <si>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</si>
  <si>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</si>
  <si>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</si>
  <si>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</si>
  <si>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</si>
  <si>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</si>
  <si>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</si>
  <si>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</si>
  <si>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</si>
  <si>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</si>
  <si>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</si>
  <si>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</si>
  <si>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</si>
  <si>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</si>
  <si>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</si>
  <si>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MÃ¼ller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</si>
  <si>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</si>
  <si>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</si>
  <si>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</si>
  <si>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</si>
  <si>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</si>
  <si>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</si>
  <si>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</si>
  <si>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</si>
  <si>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</si>
  <si>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</si>
  <si>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</si>
  <si>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</si>
  <si>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</si>
  <si>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</si>
  <si>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</si>
  <si>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</si>
  <si>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</si>
  <si>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</si>
  <si>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</si>
  <si>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</si>
  <si>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</si>
  <si>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</si>
  <si>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</si>
  <si>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</si>
  <si>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</si>
  <si>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</si>
  <si>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</si>
  <si>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</si>
  <si>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</si>
  <si>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</si>
  <si>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</si>
  <si>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</si>
  <si>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</si>
  <si>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</si>
  <si>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</si>
  <si>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</si>
  <si>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</si>
  <si>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</si>
  <si>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</si>
  <si>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</si>
  <si>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</si>
  <si>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</si>
  <si>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</si>
  <si>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</si>
  <si>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</si>
  <si>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</si>
  <si>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</si>
  <si>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</si>
  <si>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</si>
  <si>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</si>
  <si>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</si>
  <si>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</si>
  <si>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</si>
  <si>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</si>
  <si>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</si>
  <si>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</si>
  <si>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</si>
  <si>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</si>
  <si>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</si>
  <si>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</si>
  <si>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</si>
  <si>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</si>
  <si>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</si>
  <si>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</si>
  <si>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</si>
  <si>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</si>
  <si>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</si>
  <si>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</si>
  <si>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</si>
  <si>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</si>
  <si>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</si>
  <si>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</si>
  <si>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</si>
  <si>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</si>
  <si>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</si>
  <si>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</si>
  <si>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</si>
  <si>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</si>
  <si>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</si>
  <si>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</si>
  <si>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</si>
  <si>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</si>
  <si>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</si>
  <si>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</si>
  <si>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</si>
  <si>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</si>
  <si>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</si>
  <si>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</si>
  <si>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</si>
  <si>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</si>
  <si>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</si>
  <si>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</si>
  <si>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</si>
  <si>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</si>
  <si>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</si>
  <si>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</si>
  <si>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</si>
  <si>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</si>
  <si>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</si>
  <si>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</si>
  <si>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</si>
  <si>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</si>
  <si>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</si>
  <si>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</si>
  <si>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</si>
  <si>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</si>
  <si>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</si>
  <si>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</si>
  <si>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</si>
  <si>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</si>
  <si>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</si>
  <si>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</si>
  <si>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</si>
  <si>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</si>
  <si>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</si>
  <si>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</si>
  <si>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</si>
  <si>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</si>
  <si>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</si>
  <si>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</si>
  <si>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</si>
  <si>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</si>
  <si>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</si>
  <si>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</si>
  <si>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MÃ¼ller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</si>
  <si>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</si>
  <si>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</si>
  <si>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</si>
  <si>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</si>
  <si>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</si>
  <si>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</si>
  <si>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</si>
  <si>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</si>
  <si>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</si>
  <si>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</si>
  <si>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</si>
  <si>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</si>
  <si>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</si>
  <si>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</si>
  <si>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</si>
  <si>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</si>
  <si>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</si>
  <si>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</si>
  <si>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</si>
  <si>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</si>
  <si>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</si>
  <si>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</si>
  <si>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</si>
  <si>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</si>
  <si>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</si>
  <si>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</si>
  <si>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</si>
  <si>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</si>
  <si>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</si>
  <si>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</si>
  <si>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</si>
  <si>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</si>
  <si>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</si>
  <si>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</si>
  <si>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</si>
  <si>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</si>
  <si>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</si>
  <si>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</si>
  <si>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</si>
  <si>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</si>
  <si>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</si>
  <si>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</si>
  <si>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</si>
  <si>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</si>
  <si>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</si>
  <si>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</si>
  <si>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</si>
  <si>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</si>
  <si>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</si>
  <si>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</si>
  <si>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</si>
  <si>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</si>
  <si>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</si>
  <si>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</si>
  <si>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</si>
  <si>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</si>
  <si>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</si>
  <si>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</si>
  <si>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</si>
  <si>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</si>
  <si>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</si>
  <si>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</si>
  <si>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</si>
  <si>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</si>
  <si>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</si>
  <si>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</si>
  <si>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</si>
  <si>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</si>
  <si>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</si>
  <si>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</si>
  <si>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</si>
  <si>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</si>
  <si>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</si>
  <si>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</si>
  <si>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</si>
  <si>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</si>
  <si>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</si>
  <si>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</si>
  <si>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</si>
  <si>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</si>
  <si>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</si>
  <si>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</si>
  <si>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</si>
  <si>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</si>
  <si>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</si>
  <si>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</si>
  <si>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</si>
  <si>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</si>
  <si>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</si>
  <si>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</si>
  <si>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</si>
  <si>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</si>
  <si>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</si>
  <si>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</si>
  <si>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</si>
  <si>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</si>
  <si>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</si>
  <si>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</si>
  <si>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</si>
  <si>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</si>
  <si>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</si>
  <si>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</si>
  <si>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</si>
  <si>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</si>
  <si>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</si>
  <si>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</si>
  <si>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</si>
  <si>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</si>
  <si>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</si>
  <si>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</si>
  <si>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</si>
  <si>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</si>
  <si>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</si>
  <si>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</si>
  <si>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</si>
  <si>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</si>
  <si>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</si>
  <si>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</si>
  <si>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</si>
  <si>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</si>
  <si>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</si>
  <si>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</si>
  <si>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</si>
  <si>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</si>
  <si>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</si>
  <si>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</si>
  <si>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</si>
  <si>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</si>
  <si>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</si>
  <si>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</si>
  <si>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</si>
  <si>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</si>
  <si>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</si>
  <si>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</si>
  <si>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</si>
  <si>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</si>
  <si>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</si>
  <si>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</si>
  <si>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</si>
  <si>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</si>
  <si>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</si>
  <si>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</si>
  <si>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</si>
  <si>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</si>
  <si>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</si>
  <si>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</si>
  <si>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</si>
  <si>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</si>
  <si>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</si>
  <si>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</si>
  <si>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</si>
  <si>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</si>
  <si>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</si>
  <si>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</si>
  <si>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</si>
  <si>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</si>
  <si>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</si>
  <si>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</si>
  <si>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</si>
  <si>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</si>
  <si>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</si>
  <si>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</si>
  <si>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</si>
  <si>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</si>
  <si>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</si>
  <si>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</si>
  <si>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</si>
  <si>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</si>
  <si>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</si>
  <si>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</si>
  <si>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</si>
  <si>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</si>
  <si>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</si>
  <si>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</si>
  <si>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</si>
  <si>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</si>
  <si>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</si>
  <si>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</si>
  <si>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</si>
  <si>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</si>
  <si>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</si>
  <si>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</si>
  <si>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</si>
  <si>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</si>
  <si>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</si>
  <si>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</si>
  <si>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</si>
  <si>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</si>
  <si>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</si>
  <si>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</si>
  <si>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</si>
  <si>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</si>
  <si>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</si>
  <si>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</si>
  <si>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</si>
  <si>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</si>
  <si>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</si>
  <si>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</si>
  <si>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</si>
  <si>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</si>
  <si>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</si>
  <si>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</si>
  <si>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</si>
  <si>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</si>
  <si>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</si>
  <si>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</si>
  <si>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</si>
  <si>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</si>
  <si>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</si>
  <si>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</si>
  <si>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MÃ¼ller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</si>
  <si>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</si>
  <si>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</si>
  <si>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</si>
  <si>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</si>
  <si>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</si>
  <si>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</si>
  <si>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</si>
  <si>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</si>
  <si>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</si>
  <si>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</si>
  <si>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</si>
  <si>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MÃ¼ller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</si>
  <si>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</si>
  <si>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</si>
  <si>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</si>
  <si>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</si>
  <si>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</si>
  <si>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</si>
  <si>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</si>
  <si>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</si>
  <si>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</si>
  <si>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</si>
  <si>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</si>
  <si>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</si>
  <si>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</si>
  <si>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</si>
  <si>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</si>
  <si>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</si>
  <si>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</si>
  <si>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</si>
  <si>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</si>
  <si>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</si>
  <si>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</si>
  <si>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</si>
  <si>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</si>
  <si>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</si>
  <si>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</si>
  <si>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</si>
  <si>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</si>
  <si>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</si>
  <si>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</si>
  <si>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</si>
  <si>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</si>
  <si>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</si>
  <si>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</si>
  <si>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</si>
  <si>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</si>
  <si>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</si>
  <si>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</si>
  <si>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</si>
  <si>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</si>
  <si>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</si>
  <si>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</si>
  <si>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</si>
  <si>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</si>
  <si>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</si>
  <si>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</si>
  <si>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</si>
  <si>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</si>
  <si>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</si>
  <si>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</si>
  <si>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</si>
  <si>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</si>
  <si>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</si>
  <si>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</si>
  <si>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</si>
  <si>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</si>
  <si>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</si>
  <si>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</si>
  <si>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</si>
  <si>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</si>
  <si>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</si>
  <si>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</si>
  <si>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</si>
  <si>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</si>
  <si>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</si>
  <si>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</si>
  <si>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</si>
  <si>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</si>
  <si>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</si>
  <si>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</si>
  <si>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</si>
  <si>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</si>
  <si>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</si>
  <si>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</si>
  <si>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</si>
  <si>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</si>
  <si>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</si>
  <si>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</si>
  <si>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</si>
  <si>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</si>
  <si>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</si>
  <si>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</si>
  <si>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</si>
  <si>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</si>
  <si>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</si>
  <si>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</si>
  <si>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</si>
  <si>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</si>
  <si>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</si>
  <si>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</si>
  <si>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</si>
  <si>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</si>
  <si>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</si>
  <si>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</si>
  <si>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</si>
  <si>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</si>
  <si>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</si>
  <si>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</si>
  <si>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</si>
  <si>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</si>
  <si>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</si>
  <si>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</si>
  <si>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</si>
  <si>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</si>
  <si>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</si>
  <si>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</si>
  <si>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</si>
  <si>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</si>
  <si>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</si>
  <si>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</si>
  <si>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</si>
  <si>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MÃ¼ller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</si>
  <si>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</si>
  <si>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</si>
  <si>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</si>
  <si>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</si>
  <si>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</si>
  <si>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</si>
  <si>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</si>
  <si>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</si>
  <si>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</si>
  <si>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</si>
  <si>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</si>
  <si>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</si>
  <si>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</si>
  <si>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</si>
  <si>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</si>
  <si>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</si>
  <si>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</si>
  <si>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</si>
  <si>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</si>
  <si>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</si>
  <si>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</si>
  <si>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</si>
  <si>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</si>
  <si>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</si>
  <si>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</si>
  <si>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</si>
  <si>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</si>
  <si>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</si>
  <si>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</si>
  <si>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</si>
  <si>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</si>
  <si>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</si>
  <si>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</si>
  <si>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</si>
  <si>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</si>
  <si>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</si>
  <si>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</si>
  <si>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</si>
  <si>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</si>
  <si>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</si>
  <si>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</si>
  <si>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</si>
  <si>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</si>
  <si>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</si>
  <si>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</si>
  <si>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</si>
  <si>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</si>
  <si>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</si>
  <si>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</si>
  <si>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</si>
  <si>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</si>
  <si>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MÃ¼ller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</si>
  <si>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</si>
  <si>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</si>
  <si>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</si>
  <si>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</si>
  <si>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</si>
  <si>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</si>
  <si>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</si>
  <si>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</si>
  <si>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</si>
  <si>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</si>
  <si>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</si>
  <si>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</si>
  <si>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</si>
  <si>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</si>
  <si>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</si>
  <si>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</si>
  <si>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</si>
  <si>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</si>
  <si>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</si>
  <si>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</si>
  <si>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</si>
  <si>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</si>
  <si>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</si>
  <si>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</si>
  <si>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</si>
  <si>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</si>
  <si>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</si>
  <si>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</si>
  <si>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</si>
  <si>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</si>
  <si>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</si>
  <si>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</si>
  <si>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</si>
  <si>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</si>
  <si>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</si>
  <si>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</si>
  <si>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</si>
  <si>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</si>
  <si>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</si>
  <si>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</si>
  <si>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</si>
  <si>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</si>
  <si>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</si>
  <si>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</si>
  <si>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</si>
  <si>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</si>
  <si>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</si>
  <si>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</si>
  <si>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</si>
  <si>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</si>
  <si>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</si>
  <si>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</si>
  <si>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</si>
  <si>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</si>
  <si>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</si>
  <si>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</si>
  <si>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</si>
  <si>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</si>
  <si>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</si>
  <si>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</si>
  <si>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</si>
  <si>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</si>
  <si>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</si>
  <si>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</si>
  <si>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</si>
  <si>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</si>
  <si>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</si>
  <si>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</si>
  <si>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</si>
  <si>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</si>
  <si>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</si>
  <si>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</si>
  <si>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</si>
  <si>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</si>
  <si>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</si>
  <si>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</si>
  <si>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</si>
  <si>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</si>
  <si>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</si>
  <si>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</si>
  <si>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</si>
  <si>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</si>
  <si>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</si>
  <si>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</si>
  <si>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</si>
  <si>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</si>
  <si>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</si>
  <si>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</si>
  <si>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</si>
  <si>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</si>
  <si>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</si>
  <si>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</si>
  <si>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</si>
  <si>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</si>
  <si>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</si>
  <si>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</si>
  <si>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</si>
  <si>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</si>
  <si>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</si>
  <si>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</si>
  <si>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</si>
  <si>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</si>
  <si>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</si>
  <si>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</si>
  <si>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</si>
  <si>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</si>
  <si>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</si>
  <si>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</si>
  <si>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</si>
  <si>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</si>
  <si>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</si>
  <si>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</si>
  <si>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</si>
  <si>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</si>
  <si>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</si>
  <si>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</si>
  <si>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</si>
  <si>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</si>
  <si>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</si>
  <si>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</si>
  <si>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</si>
  <si>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MÃ¼ller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</si>
  <si>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</si>
  <si>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</si>
  <si>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</si>
  <si>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</si>
  <si>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</si>
  <si>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</si>
  <si>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</si>
  <si>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</si>
  <si>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</si>
  <si>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</si>
  <si>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</si>
  <si>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</si>
  <si>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</si>
  <si>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</si>
  <si>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</si>
  <si>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</si>
  <si>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</si>
  <si>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</si>
  <si>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</si>
  <si>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</si>
  <si>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</si>
  <si>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</si>
  <si>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</si>
  <si>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</si>
  <si>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</si>
  <si>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</si>
  <si>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</si>
  <si>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</si>
  <si>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</si>
  <si>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</si>
  <si>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</si>
  <si>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</si>
  <si>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</si>
  <si>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</si>
  <si>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</si>
  <si>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</si>
  <si>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</si>
  <si>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</si>
  <si>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</si>
  <si>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</si>
  <si>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</si>
  <si>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</si>
  <si>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</si>
  <si>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</si>
  <si>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</si>
  <si>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</si>
  <si>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</si>
  <si>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</si>
  <si>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</si>
  <si>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</si>
  <si>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</si>
  <si>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</si>
  <si>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</si>
  <si>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</si>
  <si>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</si>
  <si>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</si>
  <si>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</si>
  <si>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</si>
  <si>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</si>
  <si>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</si>
  <si>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</si>
  <si>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</si>
  <si>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</si>
  <si>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</si>
  <si>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</si>
  <si>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</si>
  <si>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</si>
  <si>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</si>
  <si>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</si>
  <si>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</si>
  <si>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</si>
  <si>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</si>
  <si>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</si>
  <si>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</si>
  <si>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</si>
  <si>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</si>
  <si>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</si>
  <si>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</si>
  <si>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</si>
  <si>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</si>
  <si>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</si>
  <si>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</si>
  <si>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</si>
  <si>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</si>
  <si>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</si>
  <si>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</si>
  <si>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</si>
  <si>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</si>
  <si>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</si>
  <si>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</si>
  <si>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</si>
  <si>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</si>
  <si>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</si>
  <si>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MÃ¼ller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</si>
  <si>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</si>
  <si>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</si>
  <si>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</si>
  <si>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</si>
  <si>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</si>
  <si>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</si>
  <si>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</si>
  <si>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</si>
  <si>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</si>
  <si>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</si>
  <si>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</si>
  <si>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</si>
  <si>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</si>
  <si>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</si>
  <si>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</si>
  <si>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</si>
  <si>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</si>
  <si>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</si>
  <si>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</si>
  <si>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</si>
  <si>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</si>
  <si>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</si>
  <si>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</si>
  <si>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</si>
  <si>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</si>
  <si>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</si>
  <si>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</si>
  <si>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</si>
  <si>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</si>
  <si>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</si>
  <si>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</si>
  <si>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</si>
  <si>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</si>
  <si>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</si>
  <si>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</si>
  <si>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</si>
  <si>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</si>
  <si>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</si>
  <si>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</si>
  <si>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</si>
  <si>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</si>
  <si>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</si>
  <si>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</si>
  <si>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</si>
  <si>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</si>
  <si>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</si>
  <si>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</si>
  <si>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</si>
  <si>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</si>
  <si>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</si>
  <si>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</si>
  <si>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</si>
  <si>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</si>
  <si>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</si>
  <si>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</si>
  <si>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</si>
  <si>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</si>
  <si>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</si>
  <si>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</si>
  <si>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</si>
  <si>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</si>
  <si>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</si>
  <si>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</si>
  <si>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</si>
  <si>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</si>
  <si>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</si>
  <si>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</si>
  <si>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</si>
  <si>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</si>
  <si>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</si>
  <si>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</si>
  <si>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</si>
  <si>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</si>
  <si>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</si>
  <si>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</si>
  <si>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</si>
  <si>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</si>
  <si>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</si>
  <si>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</si>
  <si>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</si>
  <si>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</si>
  <si>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</si>
  <si>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</si>
  <si>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</si>
  <si>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</si>
  <si>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</si>
  <si>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</si>
  <si>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</si>
  <si>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</si>
  <si>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</si>
  <si>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</si>
  <si>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</si>
  <si>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</si>
  <si>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</si>
  <si>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</si>
  <si>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</si>
  <si>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</si>
  <si>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</si>
  <si>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</si>
  <si>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</si>
  <si>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</si>
  <si>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</si>
  <si>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</si>
  <si>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</si>
  <si>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</si>
  <si>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</si>
  <si>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</si>
  <si>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</si>
  <si>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</si>
  <si>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</si>
  <si>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</si>
  <si>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</si>
  <si>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</si>
  <si>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</si>
  <si>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</si>
  <si>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</si>
  <si>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</si>
  <si>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</si>
  <si>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</si>
  <si>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</si>
  <si>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</si>
  <si>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</si>
  <si>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</si>
  <si>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</si>
  <si>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</si>
  <si>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</si>
  <si>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</si>
  <si>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</si>
  <si>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</si>
  <si>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</si>
  <si>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</si>
  <si>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</si>
  <si>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</si>
  <si>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</si>
  <si>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</si>
  <si>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</si>
  <si>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</si>
  <si>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</si>
  <si>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</si>
  <si>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</si>
  <si>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</si>
  <si>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</si>
  <si>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</si>
  <si>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</si>
  <si>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</si>
  <si>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</si>
  <si>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</si>
  <si>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</si>
  <si>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</si>
  <si>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</si>
  <si>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</si>
  <si>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</si>
  <si>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</si>
  <si>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</si>
  <si>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</si>
  <si>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</si>
  <si>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</si>
  <si>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</si>
  <si>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</si>
  <si>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</si>
  <si>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</si>
  <si>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</si>
  <si>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</si>
  <si>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</si>
  <si>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</si>
  <si>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</si>
  <si>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</si>
  <si>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</si>
  <si>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</si>
  <si>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</si>
  <si>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</si>
  <si>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</si>
  <si>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</si>
  <si>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</si>
  <si>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</si>
  <si>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</si>
  <si>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</si>
  <si>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</si>
  <si>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</si>
  <si>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</si>
  <si>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</si>
  <si>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</si>
  <si>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</si>
  <si>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</si>
  <si>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</si>
  <si>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</si>
  <si>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</si>
  <si>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</si>
  <si>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MÃ¼ller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</si>
  <si>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</si>
  <si>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</si>
  <si>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</si>
  <si>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</si>
  <si>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</si>
  <si>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</si>
  <si>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</si>
  <si>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</si>
  <si>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</si>
  <si>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</si>
  <si>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</si>
  <si>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</si>
  <si>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</si>
  <si>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</si>
  <si>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</si>
  <si>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</si>
  <si>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</si>
  <si>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</si>
  <si>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</si>
  <si>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</si>
  <si>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</si>
  <si>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</si>
  <si>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</si>
  <si>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</si>
  <si>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</si>
  <si>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</si>
  <si>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</si>
  <si>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</si>
  <si>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</si>
  <si>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</si>
  <si>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</si>
  <si>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</si>
  <si>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</si>
  <si>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</si>
  <si>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</si>
  <si>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</si>
  <si>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</si>
  <si>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</si>
  <si>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</si>
  <si>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</si>
  <si>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</si>
  <si>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</si>
  <si>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</si>
  <si>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</si>
  <si>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</si>
  <si>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</si>
  <si>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</si>
  <si>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</si>
  <si>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</si>
  <si>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</si>
  <si>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</si>
  <si>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</si>
  <si>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</si>
  <si>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</si>
  <si>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</si>
  <si>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MÃ¼ller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</si>
  <si>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</si>
  <si>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</si>
  <si>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</si>
  <si>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</si>
  <si>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</si>
  <si>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</si>
  <si>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</si>
  <si>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</si>
  <si>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</si>
  <si>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</si>
  <si>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</si>
  <si>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</si>
  <si>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</si>
  <si>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</si>
  <si>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</si>
  <si>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</si>
  <si>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</si>
  <si>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</si>
  <si>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</si>
  <si>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</si>
  <si>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</si>
  <si>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</si>
  <si>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</si>
  <si>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</si>
  <si>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</si>
  <si>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</si>
  <si>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</si>
  <si>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</si>
  <si>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</si>
  <si>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</si>
  <si>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</si>
  <si>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</si>
  <si>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MÃ¼ller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</si>
  <si>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</si>
  <si>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</si>
  <si>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</si>
  <si>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</si>
  <si>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</si>
  <si>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</si>
  <si>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</si>
  <si>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</si>
  <si>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</si>
  <si>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</si>
  <si>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</si>
  <si>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</si>
  <si>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</si>
  <si>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</si>
  <si>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</si>
  <si>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</si>
  <si>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</si>
  <si>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</si>
  <si>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</si>
  <si>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</si>
  <si>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</si>
  <si>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</si>
  <si>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</si>
  <si>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</si>
  <si>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</si>
  <si>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</si>
  <si>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</si>
  <si>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</si>
  <si>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</si>
  <si>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</si>
  <si>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</si>
  <si>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</si>
  <si>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</si>
  <si>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</si>
  <si>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</si>
  <si>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</si>
  <si>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</si>
  <si>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</si>
  <si>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</si>
  <si>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</si>
  <si>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</si>
  <si>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</si>
  <si>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</si>
  <si>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</si>
  <si>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</si>
  <si>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</si>
  <si>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</si>
  <si>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</si>
  <si>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</si>
  <si>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</si>
  <si>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</si>
  <si>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</si>
  <si>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</si>
  <si>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</si>
  <si>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</si>
  <si>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</si>
  <si>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</si>
  <si>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</si>
  <si>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</si>
  <si>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</si>
  <si>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</si>
  <si>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</si>
  <si>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</si>
  <si>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</si>
  <si>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</si>
  <si>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</si>
  <si>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</si>
  <si>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</si>
  <si>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</si>
  <si>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</si>
  <si>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</si>
  <si>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</si>
  <si>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</si>
  <si>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</si>
  <si>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</si>
  <si>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</si>
  <si>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</si>
  <si>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</si>
  <si>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</si>
  <si>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</si>
  <si>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</si>
  <si>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</si>
  <si>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</si>
  <si>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</si>
  <si>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</si>
  <si>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</si>
  <si>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</si>
  <si>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</si>
  <si>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</si>
  <si>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</si>
  <si>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</si>
  <si>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</si>
  <si>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</si>
  <si>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</si>
  <si>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</si>
  <si>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</si>
  <si>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</si>
  <si>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</si>
  <si>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</si>
  <si>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</si>
  <si>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</si>
  <si>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</si>
  <si>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</si>
  <si>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</si>
  <si>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</si>
  <si>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</si>
  <si>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</si>
  <si>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</si>
  <si>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</si>
  <si>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</si>
  <si>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</si>
  <si>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</si>
  <si>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</si>
  <si>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</si>
  <si>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</si>
  <si>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</si>
  <si>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</si>
  <si>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</si>
  <si>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</si>
  <si>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</si>
  <si>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</si>
  <si>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</si>
  <si>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</si>
  <si>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</si>
  <si>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</si>
  <si>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</si>
  <si>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</si>
  <si>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</si>
  <si>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</si>
  <si>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</si>
  <si>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</si>
  <si>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</si>
  <si>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</si>
  <si>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</si>
  <si>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</si>
  <si>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</si>
  <si>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</si>
  <si>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</si>
  <si>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</si>
  <si>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</si>
  <si>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</si>
  <si>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</si>
  <si>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</si>
  <si>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</si>
  <si>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</si>
  <si>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</si>
  <si>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</si>
  <si>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</si>
  <si>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</si>
  <si>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</si>
  <si>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</si>
  <si>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</si>
  <si>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</si>
  <si>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</si>
  <si>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</si>
  <si>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</si>
  <si>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</si>
  <si>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</si>
  <si>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</si>
  <si>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</si>
  <si>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</si>
  <si>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</si>
  <si>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</si>
  <si>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</si>
  <si>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</si>
  <si>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</si>
  <si>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</si>
  <si>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</si>
  <si>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</si>
  <si>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</si>
  <si>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</si>
  <si>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</si>
  <si>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</si>
  <si>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</si>
  <si>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</si>
  <si>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</si>
  <si>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</si>
  <si>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</si>
  <si>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</si>
  <si>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</si>
  <si>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</si>
  <si>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</si>
  <si>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</si>
  <si>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</si>
  <si>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</si>
  <si>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</si>
  <si>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</si>
  <si>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</si>
  <si>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</si>
  <si>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</si>
  <si>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</si>
  <si>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</si>
  <si>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</si>
  <si>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</si>
  <si>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</si>
  <si>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</si>
  <si>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</si>
  <si>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</si>
  <si>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</si>
  <si>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</si>
  <si>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</si>
  <si>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</si>
  <si>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</si>
  <si>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</si>
  <si>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</si>
  <si>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</si>
  <si>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</si>
  <si>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</si>
  <si>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</si>
  <si>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</si>
  <si>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</si>
  <si>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</si>
  <si>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</si>
  <si>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</si>
  <si>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</si>
  <si>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</si>
  <si>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</si>
  <si>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</si>
  <si>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</si>
  <si>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</si>
  <si>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</si>
  <si>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</si>
  <si>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</si>
  <si>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</si>
  <si>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</si>
  <si>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</si>
  <si>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</si>
  <si>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</si>
  <si>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</si>
  <si>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</si>
  <si>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</si>
  <si>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</si>
  <si>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</si>
  <si>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</si>
  <si>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</si>
  <si>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</si>
  <si>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</si>
  <si>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</si>
  <si>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</si>
  <si>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</si>
  <si>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</si>
  <si>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MÃ¼ller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</si>
  <si>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</si>
  <si>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</si>
  <si>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</si>
  <si>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</si>
  <si>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</si>
  <si>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</si>
  <si>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</si>
  <si>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</si>
  <si>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</si>
  <si>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</si>
  <si>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</si>
  <si>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</si>
  <si>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</si>
  <si>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</si>
  <si>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</si>
  <si>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</si>
  <si>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</si>
  <si>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</si>
  <si>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</si>
  <si>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</si>
  <si>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</si>
  <si>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</si>
  <si>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</si>
  <si>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</si>
  <si>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</si>
  <si>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</si>
  <si>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</si>
  <si>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</si>
  <si>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</si>
  <si>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</si>
  <si>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</si>
  <si>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</si>
  <si>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</si>
  <si>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</si>
  <si>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</si>
  <si>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</si>
  <si>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</si>
  <si>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</si>
  <si>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</si>
  <si>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</si>
  <si>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</si>
  <si>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</si>
  <si>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</si>
  <si>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</si>
  <si>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</si>
  <si>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</si>
  <si>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</si>
  <si>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</si>
  <si>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</si>
  <si>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</si>
  <si>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</si>
  <si>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</si>
  <si>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</si>
  <si>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</si>
  <si>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</si>
  <si>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</si>
  <si>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</si>
  <si>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</si>
  <si>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</si>
  <si>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</si>
  <si>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</si>
  <si>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</si>
  <si>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</si>
  <si>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</si>
  <si>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</si>
  <si>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</si>
  <si>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</si>
  <si>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</si>
  <si>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</si>
  <si>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</si>
  <si>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</si>
  <si>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</si>
  <si>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</si>
  <si>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</si>
  <si>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</si>
  <si>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</si>
  <si>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</si>
  <si>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</si>
  <si>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</si>
  <si>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</si>
  <si>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</si>
  <si>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</si>
  <si>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</si>
  <si>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</si>
  <si>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</si>
  <si>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</si>
  <si>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</si>
  <si>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</si>
  <si>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</si>
  <si>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</si>
  <si>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</si>
  <si>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</si>
  <si>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</si>
  <si>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</si>
  <si>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</si>
  <si>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</si>
  <si>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</si>
  <si>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</si>
  <si>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</si>
  <si>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</si>
  <si>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</si>
  <si>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</si>
  <si>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</si>
  <si>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</si>
  <si>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</si>
  <si>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</si>
  <si>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</si>
  <si>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</si>
  <si>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</si>
  <si>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</si>
  <si>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</si>
  <si>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</si>
  <si>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</si>
  <si>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</si>
  <si>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</si>
  <si>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</si>
  <si>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</si>
  <si>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</si>
  <si>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</si>
  <si>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</si>
  <si>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</si>
  <si>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</si>
  <si>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</si>
  <si>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</si>
  <si>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</si>
  <si>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</si>
  <si>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</si>
  <si>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</si>
  <si>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</si>
  <si>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</si>
  <si>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</si>
  <si>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</si>
  <si>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</si>
  <si>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</si>
  <si>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</si>
  <si>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</si>
  <si>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</si>
  <si>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</si>
  <si>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</si>
  <si>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</si>
  <si>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</si>
  <si>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</si>
  <si>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</si>
  <si>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</si>
  <si>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</si>
  <si>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</si>
  <si>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</si>
  <si>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</si>
  <si>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</si>
  <si>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</si>
  <si>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</si>
  <si>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</si>
  <si>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</si>
  <si>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</si>
  <si>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</si>
  <si>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</si>
  <si>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</si>
  <si>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</si>
  <si>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</si>
  <si>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</si>
  <si>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</si>
  <si>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</si>
  <si>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MÃ¼ller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</si>
  <si>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</si>
  <si>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</si>
  <si>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</si>
  <si>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</si>
  <si>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</si>
  <si>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</si>
  <si>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</si>
  <si>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</si>
  <si>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</si>
  <si>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</si>
  <si>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</si>
  <si>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</si>
  <si>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</si>
  <si>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</si>
  <si>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</si>
  <si>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</si>
  <si>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</si>
  <si>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</si>
  <si>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</si>
  <si>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</si>
  <si>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</si>
  <si>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</si>
  <si>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</si>
  <si>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</si>
  <si>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</si>
  <si>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</si>
  <si>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</si>
  <si>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</si>
  <si>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</si>
  <si>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</si>
  <si>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</si>
  <si>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</si>
  <si>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</si>
  <si>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</si>
  <si>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</si>
  <si>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</si>
  <si>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</si>
  <si>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</si>
  <si>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</si>
  <si>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</si>
  <si>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</si>
  <si>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</si>
  <si>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</si>
  <si>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</si>
  <si>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</si>
  <si>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</si>
  <si>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</si>
  <si>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</si>
  <si>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</si>
  <si>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</si>
  <si>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</si>
  <si>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</si>
  <si>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</si>
  <si>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</si>
  <si>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</si>
  <si>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</si>
  <si>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</si>
  <si>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</si>
  <si>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</si>
  <si>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</si>
  <si>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</si>
  <si>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</si>
  <si>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</si>
  <si>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</si>
  <si>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</si>
  <si>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</si>
  <si>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</si>
  <si>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</si>
  <si>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</si>
  <si>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</si>
  <si>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</si>
  <si>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</si>
  <si>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</si>
  <si>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</si>
  <si>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</si>
  <si>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</si>
  <si>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</si>
  <si>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</si>
  <si>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</si>
  <si>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</si>
  <si>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</si>
  <si>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</si>
  <si>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</si>
  <si>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</si>
  <si>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</si>
  <si>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</si>
  <si>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</si>
  <si>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</si>
  <si>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</si>
  <si>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</si>
  <si>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</si>
  <si>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</si>
  <si>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</si>
  <si>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</si>
  <si>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</si>
  <si>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</si>
  <si>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</si>
  <si>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</si>
  <si>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</si>
  <si>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</si>
  <si>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</si>
  <si>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</si>
  <si>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</si>
  <si>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</si>
  <si>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</si>
  <si>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</si>
  <si>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</si>
  <si>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</si>
  <si>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</si>
  <si>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</si>
  <si>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</si>
  <si>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</si>
  <si>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</si>
  <si>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</si>
  <si>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</si>
  <si>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</si>
  <si>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</si>
  <si>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</si>
  <si>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</si>
  <si>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</si>
  <si>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</si>
  <si>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</si>
  <si>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</si>
  <si>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</si>
  <si>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</si>
  <si>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</si>
  <si>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</si>
  <si>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</si>
  <si>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</si>
  <si>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</si>
  <si>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</si>
  <si>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</si>
  <si>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</si>
  <si>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</si>
  <si>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</si>
  <si>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</si>
  <si>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</si>
  <si>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</si>
  <si>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</si>
  <si>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</si>
  <si>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</si>
  <si>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</si>
  <si>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</si>
  <si>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</si>
  <si>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</si>
  <si>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</si>
  <si>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</si>
  <si>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</si>
  <si>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</si>
  <si>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</si>
  <si>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</si>
  <si>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</si>
  <si>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</si>
  <si>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</si>
  <si>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</si>
  <si>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</si>
  <si>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</si>
  <si>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</si>
  <si>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</si>
  <si>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</si>
  <si>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</si>
  <si>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</si>
  <si>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</si>
  <si>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</si>
  <si>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</si>
  <si>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</si>
  <si>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</si>
  <si>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</si>
  <si>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</si>
  <si>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</si>
  <si>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</si>
  <si>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</si>
  <si>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</si>
  <si>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</si>
  <si>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</si>
  <si>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</si>
  <si>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</si>
  <si>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</si>
  <si>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</si>
  <si>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</si>
  <si>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</si>
  <si>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</si>
  <si>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</si>
  <si>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</si>
  <si>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</si>
  <si>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</si>
  <si>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</si>
  <si>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</si>
  <si>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</si>
  <si>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</si>
  <si>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</si>
  <si>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</si>
  <si>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</si>
  <si>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</si>
  <si>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</si>
  <si>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</si>
  <si>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</si>
  <si>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</si>
  <si>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</si>
  <si>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</si>
  <si>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</si>
  <si>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</si>
  <si>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</si>
  <si>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</si>
  <si>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</si>
  <si>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</si>
  <si>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</si>
  <si>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</si>
  <si>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</si>
  <si>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</si>
  <si>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</si>
  <si>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</si>
  <si>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</si>
  <si>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</si>
  <si>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</si>
  <si>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</si>
  <si>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</si>
  <si>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</si>
  <si>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</si>
  <si>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</si>
  <si>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</si>
  <si>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</si>
  <si>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</si>
  <si>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</si>
  <si>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</si>
  <si>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</si>
  <si>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</si>
  <si>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</si>
  <si>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</si>
  <si>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</si>
  <si>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</si>
  <si>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</si>
  <si>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</si>
  <si>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</si>
  <si>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</si>
  <si>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</si>
  <si>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</si>
  <si>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</si>
  <si>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</si>
  <si>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</si>
  <si>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</si>
  <si>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</si>
  <si>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</si>
  <si>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</si>
  <si>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</si>
  <si>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</si>
  <si>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</si>
  <si>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</si>
  <si>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</si>
  <si>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</si>
  <si>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</si>
  <si>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</si>
  <si>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</si>
  <si>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</si>
  <si>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</si>
  <si>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</si>
  <si>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</si>
  <si>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</si>
  <si>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</si>
  <si>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</si>
  <si>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</si>
  <si>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</si>
  <si>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</si>
  <si>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</si>
  <si>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</si>
  <si>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</si>
  <si>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</si>
  <si>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</si>
  <si>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</si>
  <si>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</si>
  <si>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</si>
  <si>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</si>
  <si>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</si>
  <si>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</si>
  <si>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</si>
  <si>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</si>
  <si>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</si>
  <si>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</si>
  <si>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</si>
  <si>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</si>
  <si>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</si>
  <si>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</si>
  <si>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</si>
  <si>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</si>
  <si>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</si>
  <si>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</si>
  <si>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</si>
  <si>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</si>
  <si>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</si>
  <si>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</si>
  <si>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</si>
  <si>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</si>
  <si>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</si>
  <si>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</si>
  <si>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</si>
  <si>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</si>
  <si>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</si>
  <si>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</si>
  <si>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</si>
  <si>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</si>
  <si>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</si>
  <si>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</si>
  <si>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</si>
  <si>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</si>
  <si>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</si>
  <si>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</si>
  <si>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</si>
  <si>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</si>
  <si>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</si>
  <si>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</si>
  <si>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</si>
  <si>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</si>
  <si>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</si>
  <si>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</si>
  <si>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</si>
  <si>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</si>
  <si>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</si>
  <si>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</si>
  <si>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</si>
  <si>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</si>
  <si>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</si>
  <si>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</si>
  <si>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</si>
  <si>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</si>
  <si>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</si>
  <si>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</si>
  <si>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</si>
  <si>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</si>
  <si>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</si>
  <si>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</si>
  <si>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</si>
  <si>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</si>
  <si>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</si>
  <si>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</si>
  <si>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</si>
  <si>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</si>
  <si>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</si>
  <si>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</si>
  <si>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</si>
  <si>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</si>
  <si>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</si>
  <si>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</si>
  <si>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</si>
  <si>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</si>
  <si>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</si>
  <si>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</si>
  <si>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</si>
  <si>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</si>
  <si>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</si>
  <si>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</si>
  <si>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</si>
  <si>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</si>
  <si>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</si>
  <si>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</si>
  <si>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</si>
  <si>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</si>
  <si>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</si>
  <si>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</si>
  <si>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</si>
  <si>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</si>
  <si>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</si>
  <si>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</si>
  <si>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</si>
  <si>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</si>
  <si>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</si>
  <si>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</si>
  <si>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</si>
  <si>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</si>
  <si>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</si>
  <si>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</si>
  <si>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</si>
  <si>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</si>
  <si>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</si>
  <si>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</si>
  <si>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</si>
  <si>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</si>
  <si>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</si>
  <si>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</si>
  <si>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</si>
  <si>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</si>
  <si>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</si>
  <si>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</si>
  <si>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</si>
  <si>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</si>
  <si>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</si>
  <si>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</si>
  <si>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</si>
  <si>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</si>
  <si>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</si>
  <si>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</si>
  <si>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</si>
  <si>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</si>
  <si>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</si>
  <si>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</si>
  <si>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</si>
  <si>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</si>
  <si>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</si>
  <si>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</si>
  <si>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</si>
  <si>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</si>
  <si>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</si>
  <si>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</si>
  <si>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</si>
  <si>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</si>
  <si>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</si>
  <si>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</si>
  <si>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</si>
  <si>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</si>
  <si>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</si>
  <si>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</si>
  <si>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</si>
  <si>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</si>
  <si>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</si>
  <si>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</si>
  <si>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</si>
  <si>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</si>
  <si>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</si>
  <si>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</si>
  <si>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</si>
  <si>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</si>
  <si>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</si>
  <si>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</si>
  <si>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</si>
  <si>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</si>
  <si>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</si>
  <si>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</si>
  <si>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</si>
  <si>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</si>
  <si>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</si>
  <si>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</si>
  <si>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</si>
  <si>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</si>
  <si>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</si>
  <si>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</si>
  <si>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</si>
  <si>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</si>
  <si>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</si>
  <si>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</si>
  <si>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</si>
  <si>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MÃ¼ller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</si>
  <si>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</si>
  <si>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</si>
  <si>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</si>
  <si>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</si>
  <si>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</si>
  <si>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</si>
  <si>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</si>
  <si>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</si>
  <si>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</si>
  <si>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</si>
  <si>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</si>
  <si>
    <t>Metric</t>
  </si>
  <si>
    <t>Value</t>
  </si>
  <si>
    <t>Total Orders</t>
  </si>
  <si>
    <t>Total Quantity Sold</t>
  </si>
  <si>
    <t>Total Sales</t>
  </si>
  <si>
    <t>Total Profit</t>
  </si>
  <si>
    <t>Average Order Value</t>
  </si>
  <si>
    <t>Average Profit Per Order</t>
  </si>
  <si>
    <t>Row Labels</t>
  </si>
  <si>
    <t>Grand Total</t>
  </si>
  <si>
    <t>Sum of Total_Sales</t>
  </si>
  <si>
    <t>Sum of Profit</t>
  </si>
  <si>
    <t>Count of Order_Date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</si>
  <si>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</si>
  <si>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</si>
  <si>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</si>
  <si>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</si>
  <si>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</si>
  <si>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</si>
  <si>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</si>
  <si>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</si>
  <si>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</si>
  <si>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</si>
  <si>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</si>
  <si>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</si>
  <si>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</si>
  <si>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</si>
  <si>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</si>
  <si>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Sum of Shipping_Cost</t>
  </si>
  <si>
    <t>Key Insights</t>
  </si>
  <si>
    <t>1. Furniture is the highest-selling product category.</t>
  </si>
  <si>
    <t>2. Technology is the second-highest-selling product category.</t>
  </si>
  <si>
    <t>3. Furniture generates the highest profit among all product categories.</t>
  </si>
  <si>
    <t>4. Clothing &amp; Accessories generate more profit than Office Supplies.</t>
  </si>
  <si>
    <t>5. Europe generates the highest sales and profit among all regions.</t>
  </si>
  <si>
    <t>6. Mexico has the highest sales and profit among the countries analyzed.</t>
  </si>
  <si>
    <t>7. Consumer customers contribute the highest sales and profit among all customer segments.</t>
  </si>
  <si>
    <t>8. Standing Desk Converter is the top-selling product by sales.</t>
  </si>
  <si>
    <t>9. Credit Card is the most commonly used payment method, with 797 orders.</t>
  </si>
  <si>
    <t>10. Higher discount percentages are associated with lower profit levels.</t>
  </si>
  <si>
    <t>11. Asia Pacific has the highest total shipping cost among all regions.</t>
  </si>
  <si>
    <t>12. Monthly sales fluctuate throughout the year, with noticeable peaks and declines.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</si>
</sst>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10" xfId="0" applyBorder="1"/>
    <xf numFmtId="165" fontId="0" fillId="0" borderId="10" xfId="0" applyNumberFormat="1" applyBorder="1"/>
    <xf numFmtId="2" fontId="0" fillId="0" borderId="10" xfId="0" applyNumberFormat="1" applyBorder="1"/>
    <xf numFmtId="0" fontId="0" fillId="0" borderId="11" xfId="0" applyBorder="1"/>
    <xf numFmtId="2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16" fillId="33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[Global_ecommerce_sales.xlsx]Sales by Product Category!PivotTable1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 Category'!$A$4:$A$8</c:f>
              <c:strCache>
                <c:ptCount val="4"/>
                <c:pt idx="0">
                  <c:v>Clothing &amp; Accessories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'Sales by Product Category'!$B$4:$B$8</c:f>
              <c:numCache>
                <c:formatCode>General</c:formatCode>
                <c:ptCount val="4"/>
                <c:pt idx="0">
                  <c:v>69375.630000000077</c:v>
                </c:pt>
                <c:pt idx="1">
                  <c:v>256274.68000000008</c:v>
                </c:pt>
                <c:pt idx="2">
                  <c:v>19390.809999999994</c:v>
                </c:pt>
                <c:pt idx="3">
                  <c:v>139518.22000000003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3-4B3A-B1B5-195D65559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870712"/>
        <c:axId val="585861528"/>
      </c:barChart>
      <c:catAx>
        <c:axId val="58587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61528"/>
        <c:crosses val="autoZero"/>
        <c:auto val="1"/>
        <c:lblAlgn val="ctr"/>
        <c:lblOffset val="100"/>
        <c:noMultiLvlLbl val="0"/>
      </c:catAx>
      <c:valAx>
        <c:axId val="58586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70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[Global_ecommerce_sales.xlsx]Profit by Product category!PivotTable1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Product category'!$A$4:$A$8</c:f>
              <c:strCache>
                <c:ptCount val="4"/>
                <c:pt idx="0">
                  <c:v>Clothing &amp; Accessories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'Profit by Product category'!$B$4:$B$8</c:f>
              <c:numCache>
                <c:formatCode>General</c:formatCode>
                <c:ptCount val="4"/>
                <c:pt idx="0">
                  <c:v>26112.940000000006</c:v>
                </c:pt>
                <c:pt idx="1">
                  <c:v>81171.570000000051</c:v>
                </c:pt>
                <c:pt idx="2">
                  <c:v>3319.1599999999953</c:v>
                </c:pt>
                <c:pt idx="3">
                  <c:v>48268.650000000038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1-489A-85ED-ABCDFDF3D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619744"/>
        <c:axId val="548625320"/>
      </c:barChart>
      <c:catAx>
        <c:axId val="5486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25320"/>
        <c:crosses val="autoZero"/>
        <c:auto val="1"/>
        <c:lblAlgn val="ctr"/>
        <c:lblOffset val="100"/>
        <c:noMultiLvlLbl val="0"/>
      </c:catAx>
      <c:valAx>
        <c:axId val="54862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1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[Global_ecommerce_sales.xlsx]Sales and Profit by Region!PivotTable3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and Profit by Region'!$B$3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and Profit by Region'!$A$4:$A$9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 Pacific</c:v>
                </c:pt>
                <c:pt idx="3">
                  <c:v>South America</c:v>
                </c:pt>
                <c:pt idx="4">
                  <c:v>Middle East &amp; Africa</c:v>
                </c:pt>
              </c:strCache>
            </c:strRef>
          </c:cat>
          <c:val>
            <c:numRef>
              <c:f>'Sales and Profit by Region'!$B$4:$B$9</c:f>
              <c:numCache>
                <c:formatCode>General</c:formatCode>
                <c:ptCount val="5"/>
                <c:pt idx="0">
                  <c:v>137006.19999999998</c:v>
                </c:pt>
                <c:pt idx="1">
                  <c:v>133876.37999999986</c:v>
                </c:pt>
                <c:pt idx="2">
                  <c:v>121707.51000000013</c:v>
                </c:pt>
                <c:pt idx="3">
                  <c:v>46051.12999999999</c:v>
                </c:pt>
                <c:pt idx="4">
                  <c:v>45918.119999999988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D-4CC0-B8CF-26B46946ED9B}"/>
            </c:ext>
          </c:extLst>
        </c:ser>
        <c:ser>
          <c:idx val="1"/>
          <c:order val="1"/>
          <c:tx>
            <c:strRef>
              <c:f>'Sales and Profit by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and Profit by Region'!$A$4:$A$9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 Pacific</c:v>
                </c:pt>
                <c:pt idx="3">
                  <c:v>South America</c:v>
                </c:pt>
                <c:pt idx="4">
                  <c:v>Middle East &amp; Africa</c:v>
                </c:pt>
              </c:strCache>
            </c:strRef>
          </c:cat>
          <c:val>
            <c:numRef>
              <c:f>'Sales and Profit by Region'!$C$4:$C$9</c:f>
              <c:numCache>
                <c:formatCode>General</c:formatCode>
                <c:ptCount val="5"/>
                <c:pt idx="0">
                  <c:v>45672.160000000054</c:v>
                </c:pt>
                <c:pt idx="1">
                  <c:v>45250.089999999967</c:v>
                </c:pt>
                <c:pt idx="2">
                  <c:v>39116.609999999979</c:v>
                </c:pt>
                <c:pt idx="3">
                  <c:v>14680.979999999992</c:v>
                </c:pt>
                <c:pt idx="4">
                  <c:v>14152.479999999996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D-4CC0-B8CF-26B46946E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524896"/>
        <c:axId val="360525552"/>
      </c:barChart>
      <c:catAx>
        <c:axId val="3605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25552"/>
        <c:crosses val="autoZero"/>
        <c:auto val="1"/>
        <c:lblAlgn val="ctr"/>
        <c:lblOffset val="100"/>
        <c:noMultiLvlLbl val="0"/>
      </c:catAx>
      <c:valAx>
        <c:axId val="3605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[Global_ecommerce_sales.xlsx]Sales and Profit by Country!PivotTable4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by 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and Profit by Country'!$B$3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and Profit by Country'!$A$4:$A$24</c:f>
              <c:strCache>
                <c:ptCount val="20"/>
                <c:pt idx="0">
                  <c:v>Mexico</c:v>
                </c:pt>
                <c:pt idx="1">
                  <c:v>Canada</c:v>
                </c:pt>
                <c:pt idx="2">
                  <c:v>United States</c:v>
                </c:pt>
                <c:pt idx="3">
                  <c:v>Japan</c:v>
                </c:pt>
                <c:pt idx="4">
                  <c:v>United Kingdom</c:v>
                </c:pt>
                <c:pt idx="5">
                  <c:v>Germany</c:v>
                </c:pt>
                <c:pt idx="6">
                  <c:v>China</c:v>
                </c:pt>
                <c:pt idx="7">
                  <c:v>Italy</c:v>
                </c:pt>
                <c:pt idx="8">
                  <c:v>France</c:v>
                </c:pt>
                <c:pt idx="9">
                  <c:v>Australia</c:v>
                </c:pt>
                <c:pt idx="10">
                  <c:v>Spain</c:v>
                </c:pt>
                <c:pt idx="11">
                  <c:v>South Korea</c:v>
                </c:pt>
                <c:pt idx="12">
                  <c:v>Brazil</c:v>
                </c:pt>
                <c:pt idx="13">
                  <c:v>India</c:v>
                </c:pt>
                <c:pt idx="14">
                  <c:v>Argentina</c:v>
                </c:pt>
                <c:pt idx="15">
                  <c:v>Saudi Arabia</c:v>
                </c:pt>
                <c:pt idx="16">
                  <c:v>South Africa</c:v>
                </c:pt>
                <c:pt idx="17">
                  <c:v>Nigeria</c:v>
                </c:pt>
                <c:pt idx="18">
                  <c:v>Colombia</c:v>
                </c:pt>
                <c:pt idx="19">
                  <c:v>UAE</c:v>
                </c:pt>
              </c:strCache>
            </c:strRef>
          </c:cat>
          <c:val>
            <c:numRef>
              <c:f>'Sales and Profit by Country'!$B$4:$B$24</c:f>
              <c:numCache>
                <c:formatCode>General</c:formatCode>
                <c:ptCount val="20"/>
                <c:pt idx="0">
                  <c:v>47217.30000000001</c:v>
                </c:pt>
                <c:pt idx="1">
                  <c:v>45326.549999999996</c:v>
                </c:pt>
                <c:pt idx="2">
                  <c:v>41332.530000000028</c:v>
                </c:pt>
                <c:pt idx="3">
                  <c:v>30950.189999999984</c:v>
                </c:pt>
                <c:pt idx="4">
                  <c:v>30185.459999999995</c:v>
                </c:pt>
                <c:pt idx="5">
                  <c:v>28989.73000000001</c:v>
                </c:pt>
                <c:pt idx="6">
                  <c:v>28322.849999999995</c:v>
                </c:pt>
                <c:pt idx="7">
                  <c:v>27484.380000000008</c:v>
                </c:pt>
                <c:pt idx="8">
                  <c:v>26616.810000000005</c:v>
                </c:pt>
                <c:pt idx="9">
                  <c:v>25287.72</c:v>
                </c:pt>
                <c:pt idx="10">
                  <c:v>23729.820000000003</c:v>
                </c:pt>
                <c:pt idx="11">
                  <c:v>18745.209999999992</c:v>
                </c:pt>
                <c:pt idx="12">
                  <c:v>18473.969999999998</c:v>
                </c:pt>
                <c:pt idx="13">
                  <c:v>18401.540000000008</c:v>
                </c:pt>
                <c:pt idx="14">
                  <c:v>17717</c:v>
                </c:pt>
                <c:pt idx="15">
                  <c:v>13680.219999999998</c:v>
                </c:pt>
                <c:pt idx="16">
                  <c:v>13564.800000000003</c:v>
                </c:pt>
                <c:pt idx="17">
                  <c:v>9899.9100000000017</c:v>
                </c:pt>
                <c:pt idx="18">
                  <c:v>9860.1599999999962</c:v>
                </c:pt>
                <c:pt idx="19">
                  <c:v>8773.19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0-4DF2-92DA-8AFCE4649D79}"/>
            </c:ext>
          </c:extLst>
        </c:ser>
        <c:ser>
          <c:idx val="1"/>
          <c:order val="1"/>
          <c:tx>
            <c:strRef>
              <c:f>'Sales and Profit by Country'!$C$3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and Profit by Country'!$A$4:$A$24</c:f>
              <c:strCache>
                <c:ptCount val="20"/>
                <c:pt idx="0">
                  <c:v>Mexico</c:v>
                </c:pt>
                <c:pt idx="1">
                  <c:v>Canada</c:v>
                </c:pt>
                <c:pt idx="2">
                  <c:v>United States</c:v>
                </c:pt>
                <c:pt idx="3">
                  <c:v>Japan</c:v>
                </c:pt>
                <c:pt idx="4">
                  <c:v>United Kingdom</c:v>
                </c:pt>
                <c:pt idx="5">
                  <c:v>Germany</c:v>
                </c:pt>
                <c:pt idx="6">
                  <c:v>China</c:v>
                </c:pt>
                <c:pt idx="7">
                  <c:v>Italy</c:v>
                </c:pt>
                <c:pt idx="8">
                  <c:v>France</c:v>
                </c:pt>
                <c:pt idx="9">
                  <c:v>Australia</c:v>
                </c:pt>
                <c:pt idx="10">
                  <c:v>Spain</c:v>
                </c:pt>
                <c:pt idx="11">
                  <c:v>South Korea</c:v>
                </c:pt>
                <c:pt idx="12">
                  <c:v>Brazil</c:v>
                </c:pt>
                <c:pt idx="13">
                  <c:v>India</c:v>
                </c:pt>
                <c:pt idx="14">
                  <c:v>Argentina</c:v>
                </c:pt>
                <c:pt idx="15">
                  <c:v>Saudi Arabia</c:v>
                </c:pt>
                <c:pt idx="16">
                  <c:v>South Africa</c:v>
                </c:pt>
                <c:pt idx="17">
                  <c:v>Nigeria</c:v>
                </c:pt>
                <c:pt idx="18">
                  <c:v>Colombia</c:v>
                </c:pt>
                <c:pt idx="19">
                  <c:v>UAE</c:v>
                </c:pt>
              </c:strCache>
            </c:strRef>
          </c:cat>
          <c:val>
            <c:numRef>
              <c:f>'Sales and Profit by Country'!$C$4:$C$24</c:f>
              <c:numCache>
                <c:formatCode>General</c:formatCode>
                <c:ptCount val="20"/>
                <c:pt idx="0">
                  <c:v>15949.440000000002</c:v>
                </c:pt>
                <c:pt idx="1">
                  <c:v>15320.950000000004</c:v>
                </c:pt>
                <c:pt idx="2">
                  <c:v>13979.699999999999</c:v>
                </c:pt>
                <c:pt idx="3">
                  <c:v>9826.31</c:v>
                </c:pt>
                <c:pt idx="4">
                  <c:v>10185.32</c:v>
                </c:pt>
                <c:pt idx="5">
                  <c:v>9518.0699999999961</c:v>
                </c:pt>
                <c:pt idx="6">
                  <c:v>9028.0699999999979</c:v>
                </c:pt>
                <c:pt idx="7">
                  <c:v>9125.0600000000013</c:v>
                </c:pt>
                <c:pt idx="8">
                  <c:v>8973.4600000000028</c:v>
                </c:pt>
                <c:pt idx="9">
                  <c:v>8072.3700000000008</c:v>
                </c:pt>
                <c:pt idx="10">
                  <c:v>7870.2499999999973</c:v>
                </c:pt>
                <c:pt idx="11">
                  <c:v>6124.0700000000006</c:v>
                </c:pt>
                <c:pt idx="12">
                  <c:v>5869.6300000000028</c:v>
                </c:pt>
                <c:pt idx="13">
                  <c:v>6065.7900000000027</c:v>
                </c:pt>
                <c:pt idx="14">
                  <c:v>5731.0599999999959</c:v>
                </c:pt>
                <c:pt idx="15">
                  <c:v>4276.09</c:v>
                </c:pt>
                <c:pt idx="16">
                  <c:v>4072.5900000000006</c:v>
                </c:pt>
                <c:pt idx="17">
                  <c:v>3031.6099999999997</c:v>
                </c:pt>
                <c:pt idx="18">
                  <c:v>3080.29</c:v>
                </c:pt>
                <c:pt idx="19">
                  <c:v>2772.1899999999991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0-4DF2-92DA-8AFCE4649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918096"/>
        <c:axId val="479912848"/>
      </c:barChart>
      <c:catAx>
        <c:axId val="47991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12848"/>
        <c:crosses val="autoZero"/>
        <c:auto val="1"/>
        <c:lblAlgn val="ctr"/>
        <c:lblOffset val="100"/>
        <c:noMultiLvlLbl val="0"/>
      </c:catAx>
      <c:valAx>
        <c:axId val="479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1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[Global_ecommerce_sales.xlsx]Customer Segment 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and</a:t>
            </a:r>
            <a:r>
              <a:rPr lang="en-IN" baseline="0"/>
              <a:t> Profit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'!$B$4:$B$7</c:f>
              <c:numCache>
                <c:formatCode>General</c:formatCode>
                <c:ptCount val="3"/>
                <c:pt idx="0">
                  <c:v>256287.74</c:v>
                </c:pt>
                <c:pt idx="1">
                  <c:v>146050.38999999996</c:v>
                </c:pt>
                <c:pt idx="2">
                  <c:v>82221.209999999977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9-4FF6-B34E-0C3B9EB5D01F}"/>
            </c:ext>
          </c:extLst>
        </c:ser>
        <c:ser>
          <c:idx val="1"/>
          <c:order val="1"/>
          <c:tx>
            <c:strRef>
              <c:f>'Customer Segment 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 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'!$C$4:$C$7</c:f>
              <c:numCache>
                <c:formatCode>General</c:formatCode>
                <c:ptCount val="3"/>
                <c:pt idx="0">
                  <c:v>87300.360000000175</c:v>
                </c:pt>
                <c:pt idx="1">
                  <c:v>44463.44</c:v>
                </c:pt>
                <c:pt idx="2">
                  <c:v>27108.520000000022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9-4FF6-B34E-0C3B9EB5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296224"/>
        <c:axId val="567295240"/>
      </c:barChart>
      <c:catAx>
        <c:axId val="56729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95240"/>
        <c:crosses val="autoZero"/>
        <c:auto val="1"/>
        <c:lblAlgn val="ctr"/>
        <c:lblOffset val="100"/>
        <c:noMultiLvlLbl val="0"/>
      </c:catAx>
      <c:valAx>
        <c:axId val="5672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9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[Global_ecommerce_sales.xlsx]Sales by Product Name!PivotTable6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Product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 Name'!$B$3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 Name'!$A$4:$A$14</c:f>
              <c:strCache>
                <c:ptCount val="10"/>
                <c:pt idx="0">
                  <c:v>Standing Desk Converter</c:v>
                </c:pt>
                <c:pt idx="1">
                  <c:v>Ergonomic Office Chair</c:v>
                </c:pt>
                <c:pt idx="2">
                  <c:v>Corner L-Shaped Desk</c:v>
                </c:pt>
                <c:pt idx="3">
                  <c:v>Mesh Back Task Chair</c:v>
                </c:pt>
                <c:pt idx="4">
                  <c:v>Wireless Bluetooth Headphones</c:v>
                </c:pt>
                <c:pt idx="5">
                  <c:v>Mechanical Gaming Keyboard</c:v>
                </c:pt>
                <c:pt idx="6">
                  <c:v>Filing Cabinet 3-Drawer</c:v>
                </c:pt>
                <c:pt idx="7">
                  <c:v>Folding Table Portable</c:v>
                </c:pt>
                <c:pt idx="8">
                  <c:v>Portable External SSD 1TB</c:v>
                </c:pt>
                <c:pt idx="9">
                  <c:v>Bookshelf 5-Tier</c:v>
                </c:pt>
              </c:strCache>
            </c:strRef>
          </c:cat>
          <c:val>
            <c:numRef>
              <c:f>'Sales by Product Name'!$B$4:$B$14</c:f>
              <c:numCache>
                <c:formatCode>General</c:formatCode>
                <c:ptCount val="10"/>
                <c:pt idx="0">
                  <c:v>46614.219999999972</c:v>
                </c:pt>
                <c:pt idx="1">
                  <c:v>45405.15</c:v>
                </c:pt>
                <c:pt idx="2">
                  <c:v>41070.479999999989</c:v>
                </c:pt>
                <c:pt idx="3">
                  <c:v>38179.76999999999</c:v>
                </c:pt>
                <c:pt idx="4">
                  <c:v>28258.700000000008</c:v>
                </c:pt>
                <c:pt idx="5">
                  <c:v>24072.42</c:v>
                </c:pt>
                <c:pt idx="6">
                  <c:v>23108.010000000002</c:v>
                </c:pt>
                <c:pt idx="7">
                  <c:v>18663.129999999997</c:v>
                </c:pt>
                <c:pt idx="8">
                  <c:v>18065.3</c:v>
                </c:pt>
                <c:pt idx="9">
                  <c:v>17741.589999999997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2-405F-87F3-D0A31E5E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6086848"/>
        <c:axId val="606089472"/>
      </c:barChart>
      <c:catAx>
        <c:axId val="60608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89472"/>
        <c:crosses val="autoZero"/>
        <c:auto val="1"/>
        <c:lblAlgn val="ctr"/>
        <c:lblOffset val="100"/>
        <c:noMultiLvlLbl val="0"/>
      </c:catAx>
      <c:valAx>
        <c:axId val="60608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8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[Global_ecommerce_sales.xlsx]Payment Method 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</a:t>
            </a:r>
            <a:r>
              <a:rPr lang="en-IN" baseline="0"/>
              <a:t>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'Payment Method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 Analysis'!$A$4:$A$8</c:f>
              <c:strCache>
                <c:ptCount val="4"/>
                <c:pt idx="0">
                  <c:v>Credit Card</c:v>
                </c:pt>
                <c:pt idx="1">
                  <c:v>PayPal</c:v>
                </c:pt>
                <c:pt idx="2">
                  <c:v>Cash on Delivery</c:v>
                </c:pt>
                <c:pt idx="3">
                  <c:v>Bank Transfer</c:v>
                </c:pt>
              </c:strCache>
            </c:strRef>
          </c:cat>
          <c:val>
            <c:numRef>
              <c:f>'Payment Method Analysis'!$B$4:$B$8</c:f>
              <c:numCache>
                <c:formatCode>General</c:formatCode>
                <c:ptCount val="4"/>
                <c:pt idx="0">
                  <c:v>797</c:v>
                </c:pt>
                <c:pt idx="1">
                  <c:v>609</c:v>
                </c:pt>
                <c:pt idx="2">
                  <c:v>301</c:v>
                </c:pt>
                <c:pt idx="3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D-4158-9048-11100E7EA1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[Global_ecommerce_sales.xlsx]Monthly Sales Analysis!PivotTable8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Analysis'!$A$4:$A$43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Sales Analysis'!$B$4:$B$43</c:f>
              <c:numCache>
                <c:formatCode>General</c:formatCode>
                <c:ptCount val="36"/>
                <c:pt idx="0">
                  <c:v>11275.2</c:v>
                </c:pt>
                <c:pt idx="1">
                  <c:v>16943.669999999998</c:v>
                </c:pt>
                <c:pt idx="2">
                  <c:v>16056.450000000008</c:v>
                </c:pt>
                <c:pt idx="3">
                  <c:v>12185.000000000004</c:v>
                </c:pt>
                <c:pt idx="4">
                  <c:v>8218.4700000000012</c:v>
                </c:pt>
                <c:pt idx="5">
                  <c:v>16191.610000000002</c:v>
                </c:pt>
                <c:pt idx="6">
                  <c:v>15667.73</c:v>
                </c:pt>
                <c:pt idx="7">
                  <c:v>12971.069999999998</c:v>
                </c:pt>
                <c:pt idx="8">
                  <c:v>11989.72</c:v>
                </c:pt>
                <c:pt idx="9">
                  <c:v>17794.600000000006</c:v>
                </c:pt>
                <c:pt idx="10">
                  <c:v>8475.49</c:v>
                </c:pt>
                <c:pt idx="11">
                  <c:v>16674.439999999995</c:v>
                </c:pt>
                <c:pt idx="12">
                  <c:v>8015.2099999999991</c:v>
                </c:pt>
                <c:pt idx="13">
                  <c:v>11979.6</c:v>
                </c:pt>
                <c:pt idx="14">
                  <c:v>10550.109999999999</c:v>
                </c:pt>
                <c:pt idx="15">
                  <c:v>15615.06</c:v>
                </c:pt>
                <c:pt idx="16">
                  <c:v>16594.2</c:v>
                </c:pt>
                <c:pt idx="17">
                  <c:v>9435.1500000000033</c:v>
                </c:pt>
                <c:pt idx="18">
                  <c:v>14937.529999999997</c:v>
                </c:pt>
                <c:pt idx="19">
                  <c:v>9883.83</c:v>
                </c:pt>
                <c:pt idx="20">
                  <c:v>9636.380000000001</c:v>
                </c:pt>
                <c:pt idx="21">
                  <c:v>17426.050000000003</c:v>
                </c:pt>
                <c:pt idx="22">
                  <c:v>16413.269999999997</c:v>
                </c:pt>
                <c:pt idx="23">
                  <c:v>14664.34</c:v>
                </c:pt>
                <c:pt idx="24">
                  <c:v>12321.180000000002</c:v>
                </c:pt>
                <c:pt idx="25">
                  <c:v>7337.2799999999988</c:v>
                </c:pt>
                <c:pt idx="26">
                  <c:v>7772.3300000000017</c:v>
                </c:pt>
                <c:pt idx="27">
                  <c:v>16403.599999999995</c:v>
                </c:pt>
                <c:pt idx="28">
                  <c:v>17621.8</c:v>
                </c:pt>
                <c:pt idx="29">
                  <c:v>18068.089999999993</c:v>
                </c:pt>
                <c:pt idx="30">
                  <c:v>15065.960000000001</c:v>
                </c:pt>
                <c:pt idx="31">
                  <c:v>11302.109999999999</c:v>
                </c:pt>
                <c:pt idx="32">
                  <c:v>14375.95</c:v>
                </c:pt>
                <c:pt idx="33">
                  <c:v>15874.749999999998</c:v>
                </c:pt>
                <c:pt idx="34">
                  <c:v>14781.019999999999</c:v>
                </c:pt>
                <c:pt idx="35">
                  <c:v>14041.089999999998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B-47A2-9742-66C0791B4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232600"/>
        <c:axId val="615233912"/>
      </c:lineChart>
      <c:catAx>
        <c:axId val="61523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33912"/>
        <c:crosses val="autoZero"/>
        <c:auto val="1"/>
        <c:lblAlgn val="ctr"/>
        <c:lblOffset val="100"/>
        <c:noMultiLvlLbl val="0"/>
      </c:catAx>
      <c:valAx>
        <c:axId val="615233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3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[Global_ecommerce_sales.xlsx]Shipping cost Analysis!PivotTable10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Shipping</a:t>
            </a:r>
            <a:r>
              <a:rPr lang="en-IN" baseline="0"/>
              <a:t> cost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cost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cost Analysis'!$A$4:$A$9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Middle East &amp; Africa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'Shipping cost Analysis'!$B$4:$B$9</c:f>
              <c:numCache>
                <c:formatCode>General</c:formatCode>
                <c:ptCount val="5"/>
                <c:pt idx="0">
                  <c:v>7531.1500000000015</c:v>
                </c:pt>
                <c:pt idx="1">
                  <c:v>6189.369999999999</c:v>
                </c:pt>
                <c:pt idx="2">
                  <c:v>3327.04</c:v>
                </c:pt>
                <c:pt idx="3">
                  <c:v>5806.8300000000008</c:v>
                </c:pt>
                <c:pt idx="4">
                  <c:v>2949.85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0-4399-A88F-55D038F44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871368"/>
        <c:axId val="585864808"/>
      </c:barChart>
      <c:catAx>
        <c:axId val="58587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64808"/>
        <c:crosses val="autoZero"/>
        <c:auto val="1"/>
        <c:lblAlgn val="ctr"/>
        <c:lblOffset val="100"/>
        <c:noMultiLvlLbl val="0"/>
      </c:catAx>
      <c:valAx>
        <c:axId val="58586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71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[Global_ecommerce_sales.xlsx]Sales and Profit by Discount!PivotTable9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by Discount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and Profit by Discount'!$B$3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and Profit by Discount'!$A$4:$A$11</c:f>
              <c:strCach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strCache>
            </c:strRef>
          </c:cat>
          <c:val>
            <c:numRef>
              <c:f>'Sales and Profit by Discount'!$B$4:$B$11</c:f>
              <c:numCache>
                <c:formatCode>General</c:formatCode>
                <c:ptCount val="7"/>
                <c:pt idx="0">
                  <c:v>130966.21999999997</c:v>
                </c:pt>
                <c:pt idx="1">
                  <c:v>130452.23000000001</c:v>
                </c:pt>
                <c:pt idx="2">
                  <c:v>103136.10999999997</c:v>
                </c:pt>
                <c:pt idx="3">
                  <c:v>61074.439999999988</c:v>
                </c:pt>
                <c:pt idx="4">
                  <c:v>40229.760000000009</c:v>
                </c:pt>
                <c:pt idx="5">
                  <c:v>13272.269999999999</c:v>
                </c:pt>
                <c:pt idx="6">
                  <c:v>5428.31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4-4E3E-8BC4-9B16CD89F2A3}"/>
            </c:ext>
          </c:extLst>
        </c:ser>
        <c:ser>
          <c:idx val="1"/>
          <c:order val="1"/>
          <c:tx>
            <c:strRef>
              <c:f>'Sales and Profit by Discount'!$C$3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and Profit by Discount'!$A$4:$A$11</c:f>
              <c:strCach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strCache>
            </c:strRef>
          </c:cat>
          <c:val>
            <c:numRef>
              <c:f>'Sales and Profit by Discount'!$C$4:$C$11</c:f>
              <c:numCache>
                <c:formatCode>General</c:formatCode>
                <c:ptCount val="7"/>
                <c:pt idx="0">
                  <c:v>50705.279999999962</c:v>
                </c:pt>
                <c:pt idx="1">
                  <c:v>46129.150000000009</c:v>
                </c:pt>
                <c:pt idx="2">
                  <c:v>32932.51</c:v>
                </c:pt>
                <c:pt idx="3">
                  <c:v>16503.099999999999</c:v>
                </c:pt>
                <c:pt idx="4">
                  <c:v>9305.380000000001</c:v>
                </c:pt>
                <c:pt idx="5">
                  <c:v>2568.58</c:v>
                </c:pt>
                <c:pt idx="6">
                  <c:v>728.32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4-4E3E-8BC4-9B16CD89F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5887440"/>
        <c:axId val="585888424"/>
      </c:barChart>
      <c:catAx>
        <c:axId val="58588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88424"/>
        <c:crosses val="autoZero"/>
        <c:auto val="1"/>
        <c:lblAlgn val="ctr"/>
        <c:lblOffset val="100"/>
        <c:noMultiLvlLbl val="0"/>
      </c:catAx>
      <c:valAx>
        <c:axId val="58588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88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263525</xdr:colOff>
      <xdr:row>2</xdr:row>
      <xdr:rowOff>15875</xdr:rowOff>
    </xdr:from>
    <xdr:to>
      <xdr:col>9</xdr:col>
      <xdr:colOff>568325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F043D-D83E-48D4-BD6A-0488750CD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2</xdr:row>
      <xdr:rowOff>3175</xdr:rowOff>
    </xdr:from>
    <xdr:to>
      <xdr:col>9</xdr:col>
      <xdr:colOff>501650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5DEC1-6F9C-457E-9017-BDD5F2C51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</xdr:row>
      <xdr:rowOff>161925</xdr:rowOff>
    </xdr:from>
    <xdr:to>
      <xdr:col>11</xdr:col>
      <xdr:colOff>9525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D51AF-94A7-4B09-AB52-07CB7F2AB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244474</xdr:colOff>
      <xdr:row>2</xdr:row>
      <xdr:rowOff>161925</xdr:rowOff>
    </xdr:from>
    <xdr:to>
      <xdr:col>15</xdr:col>
      <xdr:colOff>584199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B15D9-0843-4157-B4CC-F9519FBE5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225425</xdr:colOff>
      <xdr:row>2</xdr:row>
      <xdr:rowOff>3175</xdr:rowOff>
    </xdr:from>
    <xdr:to>
      <xdr:col>10</xdr:col>
      <xdr:colOff>530225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CC6C2-9ABF-438E-9D82-940EA017D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288925</xdr:colOff>
      <xdr:row>2</xdr:row>
      <xdr:rowOff>3174</xdr:rowOff>
    </xdr:from>
    <xdr:to>
      <xdr:col>9</xdr:col>
      <xdr:colOff>377825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D6815-EFC6-4531-95C4-AA1584262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180975</xdr:rowOff>
    </xdr:from>
    <xdr:to>
      <xdr:col>9</xdr:col>
      <xdr:colOff>495300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440A7-16CE-44C3-836D-D2CEFC0EE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244474</xdr:colOff>
      <xdr:row>2</xdr:row>
      <xdr:rowOff>3175</xdr:rowOff>
    </xdr:from>
    <xdr:to>
      <xdr:col>14</xdr:col>
      <xdr:colOff>603250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372CA-D396-4241-A724-C3E433664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3175</xdr:rowOff>
    </xdr:from>
    <xdr:to>
      <xdr:col>9</xdr:col>
      <xdr:colOff>241300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A2926-5942-4F6F-A99F-465FCA3BD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2</xdr:row>
      <xdr:rowOff>15874</xdr:rowOff>
    </xdr:from>
    <xdr:to>
      <xdr:col>10</xdr:col>
      <xdr:colOff>546100</xdr:colOff>
      <xdr:row>18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C00F3E-C9D2-409C-8995-4B0D38D67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5.408218171295" createdVersion="7" refreshedVersion="7" minRefreshableVersion="3" recordCount="2000" xr:uid="{04439885-595E-4FA3-A908-51B0C5F6220D}">
  <cacheSource type="worksheet">
    <worksheetSource name="SalesData"/>
  </cacheSource>
  <cacheFields count="16">
    <cacheField name="Order_ID" numFmtId="0">
      <sharedItems/>
    </cacheField>
    <cacheField name="Order_Date" numFmtId="14">
      <sharedItems containsSemiMixedTypes="0" containsNonDate="0" containsDate="1" containsString="0" minDate="2023-01-02T00:00:00" maxDate="2026-01-01T00:00:00" count="907">
        <d v="2023-01-02T00:00:00"/>
        <d v="2023-01-03T00:00:00"/>
        <d v="2023-01-05T00:00:00"/>
        <d v="2023-01-06T00:00:00"/>
        <d v="2023-01-07T00:00:00"/>
        <d v="2023-01-08T00:00:00"/>
        <d v="2023-01-09T00:00:00"/>
        <d v="2023-01-12T00:00:00"/>
        <d v="2023-01-13T00:00:00"/>
        <d v="2023-01-14T00:00:00"/>
        <d v="2023-01-15T00:00:00"/>
        <d v="2023-01-17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3-01T00:00:00"/>
        <d v="2023-03-02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9T00:00:00"/>
        <d v="2023-04-10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2T00:00:00"/>
        <d v="2023-05-23T00:00:00"/>
        <d v="2023-05-25T00:00:00"/>
        <d v="2023-05-26T00:00:00"/>
        <d v="2023-05-29T00:00:00"/>
        <d v="2023-05-30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6T00:00:00"/>
        <d v="2023-06-27T00:00:00"/>
        <d v="2023-06-28T00:00:00"/>
        <d v="2023-06-29T00:00:00"/>
        <d v="2023-07-01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2T00:00:00"/>
        <d v="2023-08-23T00:00:00"/>
        <d v="2023-08-24T00:00:00"/>
        <d v="2023-08-25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1-01T00:00:00"/>
        <d v="2023-11-02T00:00:00"/>
        <d v="2023-11-03T00:00:00"/>
        <d v="2023-11-05T00:00:00"/>
        <d v="2023-11-06T00:00:00"/>
        <d v="2023-11-07T00:00:00"/>
        <d v="2023-11-09T00:00:00"/>
        <d v="2023-11-10T00:00:00"/>
        <d v="2023-11-12T00:00:00"/>
        <d v="2023-11-13T00:00:00"/>
        <d v="2023-11-14T00:00:00"/>
        <d v="2023-11-15T00:00:00"/>
        <d v="2023-11-18T00:00:00"/>
        <d v="2023-11-19T00:00:00"/>
        <d v="2023-11-20T00:00:00"/>
        <d v="2023-11-21T00:00:00"/>
        <d v="2023-11-22T00:00:00"/>
        <d v="2023-11-23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3T00:00:00"/>
        <d v="2023-12-14T00:00:00"/>
        <d v="2023-12-16T00:00:00"/>
        <d v="2023-12-17T00:00:00"/>
        <d v="2023-12-18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31T00:00:00"/>
        <d v="2024-01-01T00:00:00"/>
        <d v="2024-01-03T00:00:00"/>
        <d v="2024-01-04T00:00:00"/>
        <d v="2024-01-06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4T00:00:00"/>
        <d v="2024-01-27T00:00:00"/>
        <d v="2024-01-28T00:00:00"/>
        <d v="2024-01-29T00:00:00"/>
        <d v="2024-01-30T00:00:00"/>
        <d v="2024-01-31T00:00:00"/>
        <d v="2024-02-02T00:00:00"/>
        <d v="2024-02-03T00:00:00"/>
        <d v="2024-02-04T00:00:00"/>
        <d v="2024-02-07T00:00:00"/>
        <d v="2024-02-08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21T00:00:00"/>
        <d v="2024-02-23T00:00:00"/>
        <d v="2024-02-25T00:00:00"/>
        <d v="2024-02-27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3T00:00:00"/>
        <d v="2024-03-16T00:00:00"/>
        <d v="2024-03-17T00:00:00"/>
        <d v="2024-03-18T00:00:00"/>
        <d v="2024-03-19T00:00:00"/>
        <d v="2024-03-21T00:00:00"/>
        <d v="2024-03-27T00:00:00"/>
        <d v="2024-03-28T00:00:00"/>
        <d v="2024-03-30T00:00:00"/>
        <d v="2024-03-31T00:00:00"/>
        <d v="2024-04-01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4T00:00:00"/>
        <d v="2024-04-15T00:00:00"/>
        <d v="2024-04-16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8T00:00:00"/>
        <d v="2024-04-29T00:00:00"/>
        <d v="2024-04-30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7T00:00:00"/>
        <d v="2024-06-08T00:00:00"/>
        <d v="2024-06-09T00:00:00"/>
        <d v="2024-06-10T00:00:00"/>
        <d v="2024-06-12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9T00:00:00"/>
        <d v="2024-07-21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8T00:00:00"/>
        <d v="2024-08-19T00:00:00"/>
        <d v="2024-08-20T00:00:00"/>
        <d v="2024-08-22T00:00:00"/>
        <d v="2024-08-24T00:00:00"/>
        <d v="2024-08-25T00:00:00"/>
        <d v="2024-08-26T00:00:00"/>
        <d v="2024-08-28T00:00:00"/>
        <d v="2024-08-29T00:00:00"/>
        <d v="2024-08-30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8T00:00:00"/>
        <d v="2024-10-09T00:00:00"/>
        <d v="2024-10-10T00:00:00"/>
        <d v="2024-10-11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5T00:00:00"/>
        <d v="2024-11-06T00:00:00"/>
        <d v="2024-11-07T00:00:00"/>
        <d v="2024-11-08T00:00:00"/>
        <d v="2024-11-09T00:00:00"/>
        <d v="2024-11-10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5T00:00:00"/>
        <d v="2024-12-06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20T00:00:00"/>
        <d v="2024-12-21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8T00:00:00"/>
        <d v="2025-01-09T00:00:00"/>
        <d v="2025-01-10T00:00:00"/>
        <d v="2025-01-11T00:00:00"/>
        <d v="2025-01-12T00:00:00"/>
        <d v="2025-01-14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9T00:00:00"/>
        <d v="2025-01-30T00:00:00"/>
        <d v="2025-02-01T00:00:00"/>
        <d v="2025-02-02T00:00:00"/>
        <d v="2025-02-03T00:00:00"/>
        <d v="2025-02-05T00:00:00"/>
        <d v="2025-02-07T00:00:00"/>
        <d v="2025-02-08T00:00:00"/>
        <d v="2025-02-10T00:00:00"/>
        <d v="2025-02-11T00:00:00"/>
        <d v="2025-02-12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4T00:00:00"/>
        <d v="2025-05-26T00:00:00"/>
        <d v="2025-05-27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10T00:00:00"/>
        <d v="2025-06-11T00:00:00"/>
        <d v="2025-06-12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  <d v="2025-07-02T00:00:00"/>
        <d v="2025-07-03T00:00:00"/>
        <d v="2025-07-04T00:00:00"/>
        <d v="2025-07-06T00:00:00"/>
        <d v="2025-07-07T00:00:00"/>
        <d v="2025-07-08T00:00:00"/>
        <d v="2025-07-10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9T00:00:00"/>
        <d v="2025-08-10T00:00:00"/>
        <d v="2025-08-11T00:00:00"/>
        <d v="2025-08-13T00:00:00"/>
        <d v="2025-08-16T00:00:00"/>
        <d v="2025-08-17T00:00:00"/>
        <d v="2025-08-18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5T00:00:00"/>
        <d v="2025-09-06T00:00:00"/>
        <d v="2025-09-07T00:00:00"/>
        <d v="2025-09-08T00:00:00"/>
        <d v="2025-09-09T00:00:00"/>
        <d v="2025-09-11T00:00:00"/>
        <d v="2025-09-14T00:00:00"/>
        <d v="2025-09-15T00:00:00"/>
        <d v="2025-09-16T00:00:00"/>
        <d v="2025-09-17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7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1T00:00:00"/>
        <d v="2025-12-22T00:00:00"/>
        <d v="2025-12-23T00:00:00"/>
        <d v="2025-12-24T00:00:00"/>
        <d v="2025-12-25T00:00:00"/>
        <d v="2025-12-27T00:00:00"/>
        <d v="2025-12-28T00:00:00"/>
        <d v="2025-12-29T00:00:00"/>
        <d v="2025-12-30T00:00:00"/>
        <d v="2025-12-31T00:00:00"/>
      </sharedItems>
      <fieldGroup par="15" base="1">
        <rangePr groupBy="months" startDate="2023-01-02T00:00:00" endDate="2026-01-01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Customer_Name" numFmtId="0">
      <sharedItems/>
    </cacheField>
    <cacheField name="Customer_Segment" numFmtId="0">
      <sharedItems count="3">
        <s v="Corporate"/>
        <s v="Consumer"/>
        <s v="Home Office"/>
      </sharedItems>
    </cacheField>
    <cacheField name="Country" numFmtId="0">
      <sharedItems count="20">
        <s v="United States"/>
        <s v="Spain"/>
        <s v="Mexico"/>
        <s v="Italy"/>
        <s v="Nigeria"/>
        <s v="China"/>
        <s v="Saudi Arabia"/>
        <s v="Colombia"/>
        <s v="United Kingdom"/>
        <s v="Japan"/>
        <s v="Australia"/>
        <s v="UAE"/>
        <s v="Argentina"/>
        <s v="Canada"/>
        <s v="Germany"/>
        <s v="South Africa"/>
        <s v="South Korea"/>
        <s v="India"/>
        <s v="Brazil"/>
        <s v="France"/>
      </sharedItems>
    </cacheField>
    <cacheField name="Region" numFmtId="0">
      <sharedItems count="5">
        <s v="North America"/>
        <s v="Europe"/>
        <s v="Middle East &amp; Africa"/>
        <s v="Asia Pacific"/>
        <s v="South America"/>
      </sharedItems>
    </cacheField>
    <cacheField name="Product_Category" numFmtId="0">
      <sharedItems count="4">
        <s v="Technology"/>
        <s v="Office Supplies"/>
        <s v="Furniture"/>
        <s v="Clothing &amp; Accessories"/>
      </sharedItems>
    </cacheField>
    <cacheField name="Product_Name" numFmtId="0">
      <sharedItems count="40">
        <s v="Wireless Bluetooth Headphones"/>
        <s v="Mechanical Gaming Keyboard"/>
        <s v="Binder Clips Assorted 48pc"/>
        <s v="Webcam HD 1080p"/>
        <s v="Standing Desk Converter"/>
        <s v="Bookshelf 5-Tier"/>
        <s v="Premium Notebook Set A5"/>
        <s v="Laptop Stand Adjustable"/>
        <s v="Folding Table Portable"/>
        <s v="Leather Wallet Minimalist"/>
        <s v="Paper Clips Box 500pc"/>
        <s v="Travel Backpack 30L"/>
        <s v="Tape Dispenser Heavy Duty"/>
        <s v="Business Casual Blazer"/>
        <s v="Corner L-Shaped Desk"/>
        <s v="Ergonomic Office Chair"/>
        <s v="Wool Blend Scarf"/>
        <s v="Whiteboard Markers Set 8"/>
        <s v="Smart LED Desk Lamp"/>
        <s v="Sticky Notes Multicolor 6-Pack"/>
        <s v="Desk Calendar 2025"/>
        <s v="Floating Wall Shelves Set"/>
        <s v="Portable External SSD 1TB"/>
        <s v="Stapler Full-Size"/>
        <s v="Canvas Messenger Bag"/>
        <s v="Ballpoint Pen Pack 12"/>
        <s v="Silk Tie Collection"/>
        <s v="Cotton Formal Shirt"/>
        <s v="USB-C Hub Multiport Adapter"/>
        <s v="Tablet Stand Holder"/>
        <s v="Sports Water Bottle 750ml"/>
        <s v="Noise Cancelling Earbuds"/>
        <s v="Monitor Riser Wood"/>
        <s v="Leather Belt Classic"/>
        <s v="Desk Organizer Set"/>
        <s v="Wireless Ergonomic Mouse"/>
        <s v="Mesh Back Task Chair"/>
        <s v="Polarized Sunglasses"/>
        <s v="Highlighters Neon Pack 6"/>
        <s v="Filing Cabinet 3-Drawer"/>
      </sharedItems>
    </cacheField>
    <cacheField name="Quantity" numFmtId="0">
      <sharedItems containsSemiMixedTypes="0" containsString="0" containsNumber="1" containsInteger="1" minValue="1" maxValue="15"/>
    </cacheField>
    <cacheField name="Unit_Price" numFmtId="0">
      <sharedItems containsSemiMixedTypes="0" containsString="0" containsNumber="1" minValue="3.03" maxValue="472.56"/>
    </cacheField>
    <cacheField name="Discount_Percent" numFmtId="0">
      <sharedItems containsSemiMixedTypes="0" containsString="0" containsNumber="1" containsInteger="1" minValue="0" maxValue="30" count="7">
        <n v="0"/>
        <n v="20"/>
        <n v="15"/>
        <n v="10"/>
        <n v="5"/>
        <n v="30"/>
        <n v="25"/>
      </sharedItems>
    </cacheField>
    <cacheField name="Total_Sales" numFmtId="0">
      <sharedItems containsSemiMixedTypes="0" containsString="0" containsNumber="1" minValue="2.42" maxValue="3813.98"/>
    </cacheField>
    <cacheField name="Shipping_Cost" numFmtId="0">
      <sharedItems containsSemiMixedTypes="0" containsString="0" containsNumber="1" minValue="5.52" maxValue="40.44"/>
    </cacheField>
    <cacheField name="Profit" numFmtId="0">
      <sharedItems containsSemiMixedTypes="0" containsString="0" containsNumber="1" minValue="-11.28" maxValue="1373.63"/>
    </cacheField>
    <cacheField name="Payment_Method" numFmtId="0">
      <sharedItems count="4">
        <s v="Cash on Delivery"/>
        <s v="Credit Card"/>
        <s v="PayPal"/>
        <s v="Bank Transfer"/>
      </sharedItems>
    </cacheField>
    <cacheField name="Years" numFmtId="0" databaseField="0">
      <fieldGroup base="1">
        <rangePr groupBy="years" startDate="2023-01-02T00:00:00" endDate="2026-01-01T00:00:00"/>
        <groupItems count="6">
          <s v="&lt;02-01-2023"/>
          <s v="2023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11121"/>
    <x v="0"/>
    <s v="Karen Suzuki"/>
    <x v="0"/>
    <x v="0"/>
    <x v="0"/>
    <x v="0"/>
    <x v="0"/>
    <n v="3"/>
    <n v="99.43"/>
    <x v="0"/>
    <n v="298.29000000000002"/>
    <n v="9.31"/>
    <n v="124.92"/>
    <x v="0"/>
  </r>
  <r>
    <s v="ORD-11244"/>
    <x v="0"/>
    <s v="John Johansson"/>
    <x v="0"/>
    <x v="1"/>
    <x v="1"/>
    <x v="0"/>
    <x v="1"/>
    <n v="4"/>
    <n v="97.93"/>
    <x v="1"/>
    <n v="313.38"/>
    <n v="14.31"/>
    <n v="83.62"/>
    <x v="0"/>
  </r>
  <r>
    <s v="ORD-10325"/>
    <x v="1"/>
    <s v="Jessica Garcia"/>
    <x v="1"/>
    <x v="2"/>
    <x v="0"/>
    <x v="1"/>
    <x v="2"/>
    <n v="2"/>
    <n v="10.74"/>
    <x v="0"/>
    <n v="21.48"/>
    <n v="8.1199999999999992"/>
    <n v="3.69"/>
    <x v="1"/>
  </r>
  <r>
    <s v="ORD-10467"/>
    <x v="1"/>
    <s v="Clara Taylor"/>
    <x v="0"/>
    <x v="3"/>
    <x v="1"/>
    <x v="0"/>
    <x v="3"/>
    <n v="2"/>
    <n v="61.86"/>
    <x v="2"/>
    <n v="105.16"/>
    <n v="10.79"/>
    <n v="26.32"/>
    <x v="2"/>
  </r>
  <r>
    <s v="ORD-11454"/>
    <x v="2"/>
    <s v="Felix Thomas"/>
    <x v="1"/>
    <x v="3"/>
    <x v="1"/>
    <x v="2"/>
    <x v="4"/>
    <n v="4"/>
    <n v="330.67"/>
    <x v="1"/>
    <n v="1058.1400000000001"/>
    <n v="11.09"/>
    <n v="253.44"/>
    <x v="1"/>
  </r>
  <r>
    <s v="ORD-11746"/>
    <x v="2"/>
    <s v="Fatima Suzuki"/>
    <x v="1"/>
    <x v="2"/>
    <x v="0"/>
    <x v="2"/>
    <x v="5"/>
    <n v="1"/>
    <n v="61.93"/>
    <x v="3"/>
    <n v="55.74"/>
    <n v="5.88"/>
    <n v="12.7"/>
    <x v="2"/>
  </r>
  <r>
    <s v="ORD-11162"/>
    <x v="3"/>
    <s v="Felix Rodriguez"/>
    <x v="2"/>
    <x v="0"/>
    <x v="0"/>
    <x v="1"/>
    <x v="6"/>
    <n v="2"/>
    <n v="15.03"/>
    <x v="4"/>
    <n v="28.56"/>
    <n v="6.59"/>
    <n v="8.44"/>
    <x v="2"/>
  </r>
  <r>
    <s v="ORD-11271"/>
    <x v="3"/>
    <s v="Ayumi Ferrari"/>
    <x v="2"/>
    <x v="4"/>
    <x v="2"/>
    <x v="0"/>
    <x v="7"/>
    <n v="2"/>
    <n v="33.909999999999997"/>
    <x v="3"/>
    <n v="61.04"/>
    <n v="14.38"/>
    <n v="9.36"/>
    <x v="3"/>
  </r>
  <r>
    <s v="ORD-11702"/>
    <x v="3"/>
    <s v="Thomas Smith"/>
    <x v="1"/>
    <x v="5"/>
    <x v="3"/>
    <x v="2"/>
    <x v="4"/>
    <n v="2"/>
    <n v="334.11"/>
    <x v="4"/>
    <n v="634.80999999999995"/>
    <n v="11.92"/>
    <n v="221.96"/>
    <x v="3"/>
  </r>
  <r>
    <s v="ORD-10847"/>
    <x v="4"/>
    <s v="Ali Rodriguez"/>
    <x v="1"/>
    <x v="6"/>
    <x v="2"/>
    <x v="2"/>
    <x v="8"/>
    <n v="1"/>
    <n v="58.77"/>
    <x v="4"/>
    <n v="55.83"/>
    <n v="12.03"/>
    <n v="8.5399999999999991"/>
    <x v="1"/>
  </r>
  <r>
    <s v="ORD-10446"/>
    <x v="5"/>
    <s v="Raj Martinez"/>
    <x v="0"/>
    <x v="7"/>
    <x v="4"/>
    <x v="3"/>
    <x v="9"/>
    <n v="2"/>
    <n v="38.909999999999997"/>
    <x v="2"/>
    <n v="66.150000000000006"/>
    <n v="14.25"/>
    <n v="12.99"/>
    <x v="1"/>
  </r>
  <r>
    <s v="ORD-11499"/>
    <x v="5"/>
    <s v="Kenji Rossi"/>
    <x v="0"/>
    <x v="1"/>
    <x v="1"/>
    <x v="1"/>
    <x v="10"/>
    <n v="3"/>
    <n v="7.8"/>
    <x v="3"/>
    <n v="21.06"/>
    <n v="12.61"/>
    <n v="-2.08"/>
    <x v="0"/>
  </r>
  <r>
    <s v="ORD-10271"/>
    <x v="6"/>
    <s v="Mary Khan"/>
    <x v="0"/>
    <x v="8"/>
    <x v="1"/>
    <x v="0"/>
    <x v="3"/>
    <n v="1"/>
    <n v="48.73"/>
    <x v="3"/>
    <n v="43.86"/>
    <n v="8.11"/>
    <n v="8.9499999999999993"/>
    <x v="1"/>
  </r>
  <r>
    <s v="ORD-11356"/>
    <x v="7"/>
    <s v="Maria Tanaka"/>
    <x v="1"/>
    <x v="7"/>
    <x v="4"/>
    <x v="3"/>
    <x v="11"/>
    <n v="1"/>
    <n v="59.48"/>
    <x v="0"/>
    <n v="59.48"/>
    <n v="11.42"/>
    <n v="18.32"/>
    <x v="1"/>
  </r>
  <r>
    <s v="ORD-10793"/>
    <x v="8"/>
    <s v="Zara Brown"/>
    <x v="0"/>
    <x v="3"/>
    <x v="1"/>
    <x v="1"/>
    <x v="12"/>
    <n v="1"/>
    <n v="15.82"/>
    <x v="0"/>
    <n v="15.82"/>
    <n v="9.16"/>
    <n v="-0.46"/>
    <x v="2"/>
  </r>
  <r>
    <s v="ORD-11330"/>
    <x v="8"/>
    <s v="Marco Moreau"/>
    <x v="0"/>
    <x v="9"/>
    <x v="3"/>
    <x v="3"/>
    <x v="13"/>
    <n v="3"/>
    <n v="51.92"/>
    <x v="5"/>
    <n v="109.03"/>
    <n v="13.39"/>
    <n v="17.760000000000002"/>
    <x v="2"/>
  </r>
  <r>
    <s v="ORD-11886"/>
    <x v="8"/>
    <s v="Christopher Johansson"/>
    <x v="1"/>
    <x v="4"/>
    <x v="2"/>
    <x v="2"/>
    <x v="14"/>
    <n v="3"/>
    <n v="358.6"/>
    <x v="2"/>
    <n v="914.43"/>
    <n v="14.74"/>
    <n v="254.21"/>
    <x v="0"/>
  </r>
  <r>
    <s v="ORD-10339"/>
    <x v="9"/>
    <s v="Susan Davis"/>
    <x v="2"/>
    <x v="10"/>
    <x v="3"/>
    <x v="2"/>
    <x v="15"/>
    <n v="2"/>
    <n v="446.8"/>
    <x v="4"/>
    <n v="848.92"/>
    <n v="13.59"/>
    <n v="299.17"/>
    <x v="0"/>
  </r>
  <r>
    <s v="ORD-10402"/>
    <x v="9"/>
    <s v="Jamal Schmidt"/>
    <x v="1"/>
    <x v="2"/>
    <x v="0"/>
    <x v="2"/>
    <x v="8"/>
    <n v="6"/>
    <n v="96.58"/>
    <x v="0"/>
    <n v="579.48"/>
    <n v="10.220000000000001"/>
    <n v="221.57"/>
    <x v="1"/>
  </r>
  <r>
    <s v="ORD-10560"/>
    <x v="9"/>
    <s v="Sarah Davis"/>
    <x v="2"/>
    <x v="3"/>
    <x v="1"/>
    <x v="3"/>
    <x v="16"/>
    <n v="1"/>
    <n v="27.9"/>
    <x v="4"/>
    <n v="26.5"/>
    <n v="8.93"/>
    <n v="3.62"/>
    <x v="2"/>
  </r>
  <r>
    <s v="ORD-10686"/>
    <x v="10"/>
    <s v="Clara Smith"/>
    <x v="0"/>
    <x v="7"/>
    <x v="4"/>
    <x v="1"/>
    <x v="17"/>
    <n v="5"/>
    <n v="9.91"/>
    <x v="6"/>
    <n v="37.159999999999997"/>
    <n v="20.73"/>
    <n v="-5.87"/>
    <x v="0"/>
  </r>
  <r>
    <s v="ORD-11718"/>
    <x v="10"/>
    <s v="Robert Khan"/>
    <x v="1"/>
    <x v="7"/>
    <x v="4"/>
    <x v="3"/>
    <x v="16"/>
    <n v="2"/>
    <n v="47"/>
    <x v="3"/>
    <n v="84.6"/>
    <n v="14.83"/>
    <n v="22.77"/>
    <x v="1"/>
  </r>
  <r>
    <s v="ORD-10736"/>
    <x v="11"/>
    <s v="Jennifer Russo"/>
    <x v="2"/>
    <x v="0"/>
    <x v="0"/>
    <x v="0"/>
    <x v="18"/>
    <n v="2"/>
    <n v="32.909999999999997"/>
    <x v="0"/>
    <n v="65.819999999999993"/>
    <n v="7.55"/>
    <n v="22.07"/>
    <x v="2"/>
  </r>
  <r>
    <s v="ORD-10846"/>
    <x v="11"/>
    <s v="Yuki Costa"/>
    <x v="0"/>
    <x v="11"/>
    <x v="2"/>
    <x v="1"/>
    <x v="19"/>
    <n v="2"/>
    <n v="11.41"/>
    <x v="4"/>
    <n v="21.68"/>
    <n v="15.26"/>
    <n v="-3.85"/>
    <x v="3"/>
  </r>
  <r>
    <s v="ORD-11128"/>
    <x v="12"/>
    <s v="Amir Oliveira"/>
    <x v="1"/>
    <x v="2"/>
    <x v="0"/>
    <x v="2"/>
    <x v="4"/>
    <n v="5"/>
    <n v="333.59"/>
    <x v="3"/>
    <n v="1501.15"/>
    <n v="9.02"/>
    <n v="491.36"/>
    <x v="1"/>
  </r>
  <r>
    <s v="ORD-10279"/>
    <x v="13"/>
    <s v="Ivan Zhang"/>
    <x v="1"/>
    <x v="11"/>
    <x v="2"/>
    <x v="1"/>
    <x v="20"/>
    <n v="7"/>
    <n v="10.6"/>
    <x v="1"/>
    <n v="59.36"/>
    <n v="18.260000000000002"/>
    <n v="7.71"/>
    <x v="3"/>
  </r>
  <r>
    <s v="ORD-10344"/>
    <x v="13"/>
    <s v="Sakura Martinez"/>
    <x v="2"/>
    <x v="10"/>
    <x v="3"/>
    <x v="2"/>
    <x v="21"/>
    <n v="2"/>
    <n v="67.38"/>
    <x v="4"/>
    <n v="128.02000000000001"/>
    <n v="11"/>
    <n v="36.159999999999997"/>
    <x v="0"/>
  </r>
  <r>
    <s v="ORD-10589"/>
    <x v="13"/>
    <s v="Mary Davis"/>
    <x v="1"/>
    <x v="12"/>
    <x v="4"/>
    <x v="0"/>
    <x v="22"/>
    <n v="4"/>
    <n v="121.25"/>
    <x v="0"/>
    <n v="485"/>
    <n v="18.53"/>
    <n v="199.72"/>
    <x v="2"/>
  </r>
  <r>
    <s v="ORD-11029"/>
    <x v="13"/>
    <s v="Karen Rossi"/>
    <x v="2"/>
    <x v="9"/>
    <x v="3"/>
    <x v="1"/>
    <x v="17"/>
    <n v="4"/>
    <n v="19.920000000000002"/>
    <x v="0"/>
    <n v="79.680000000000007"/>
    <n v="16.010000000000002"/>
    <n v="27.81"/>
    <x v="0"/>
  </r>
  <r>
    <s v="ORD-11026"/>
    <x v="14"/>
    <s v="Chen Singh"/>
    <x v="1"/>
    <x v="5"/>
    <x v="3"/>
    <x v="0"/>
    <x v="18"/>
    <n v="3"/>
    <n v="34.979999999999997"/>
    <x v="4"/>
    <n v="99.69"/>
    <n v="14.67"/>
    <n v="27.3"/>
    <x v="1"/>
  </r>
  <r>
    <s v="ORD-10968"/>
    <x v="15"/>
    <s v="Wei MÃ¼ller"/>
    <x v="1"/>
    <x v="13"/>
    <x v="0"/>
    <x v="2"/>
    <x v="21"/>
    <n v="4"/>
    <n v="37.18"/>
    <x v="4"/>
    <n v="141.28"/>
    <n v="12.28"/>
    <n v="39.770000000000003"/>
    <x v="1"/>
  </r>
  <r>
    <s v="ORD-11723"/>
    <x v="15"/>
    <s v="Raj Costa"/>
    <x v="1"/>
    <x v="8"/>
    <x v="1"/>
    <x v="1"/>
    <x v="23"/>
    <n v="1"/>
    <n v="8.5399999999999991"/>
    <x v="2"/>
    <n v="7.26"/>
    <n v="7.97"/>
    <n v="-4.55"/>
    <x v="1"/>
  </r>
  <r>
    <s v="ORD-10408"/>
    <x v="16"/>
    <s v="Hanna Sato"/>
    <x v="1"/>
    <x v="14"/>
    <x v="1"/>
    <x v="1"/>
    <x v="10"/>
    <n v="2"/>
    <n v="8.5299999999999994"/>
    <x v="4"/>
    <n v="16.21"/>
    <n v="9.3000000000000007"/>
    <n v="-0.77"/>
    <x v="1"/>
  </r>
  <r>
    <s v="ORD-11828"/>
    <x v="16"/>
    <s v="Sarah Zhang"/>
    <x v="2"/>
    <x v="15"/>
    <x v="2"/>
    <x v="3"/>
    <x v="24"/>
    <n v="4"/>
    <n v="57.87"/>
    <x v="1"/>
    <n v="185.18"/>
    <n v="13.88"/>
    <n v="55.56"/>
    <x v="2"/>
  </r>
  <r>
    <s v="ORD-11035"/>
    <x v="17"/>
    <s v="Linda Russo"/>
    <x v="0"/>
    <x v="3"/>
    <x v="1"/>
    <x v="1"/>
    <x v="17"/>
    <n v="8"/>
    <n v="15.41"/>
    <x v="3"/>
    <n v="110.95"/>
    <n v="21.9"/>
    <n v="33.57"/>
    <x v="2"/>
  </r>
  <r>
    <s v="ORD-10599"/>
    <x v="18"/>
    <s v="Chen Laurent"/>
    <x v="1"/>
    <x v="0"/>
    <x v="0"/>
    <x v="0"/>
    <x v="1"/>
    <n v="1"/>
    <n v="167.57"/>
    <x v="4"/>
    <n v="159.19"/>
    <n v="6.21"/>
    <n v="60.82"/>
    <x v="2"/>
  </r>
  <r>
    <s v="ORD-10780"/>
    <x v="19"/>
    <s v="David Anderson"/>
    <x v="1"/>
    <x v="6"/>
    <x v="2"/>
    <x v="2"/>
    <x v="15"/>
    <n v="2"/>
    <n v="212.13"/>
    <x v="0"/>
    <n v="424.26"/>
    <n v="14.72"/>
    <n v="154.97999999999999"/>
    <x v="0"/>
  </r>
  <r>
    <s v="ORD-10636"/>
    <x v="20"/>
    <s v="Ayumi Tanaka"/>
    <x v="0"/>
    <x v="16"/>
    <x v="3"/>
    <x v="1"/>
    <x v="25"/>
    <n v="5"/>
    <n v="9.02"/>
    <x v="2"/>
    <n v="38.33"/>
    <n v="17.7"/>
    <n v="0.34"/>
    <x v="1"/>
  </r>
  <r>
    <s v="ORD-10694"/>
    <x v="20"/>
    <s v="Susan Johansson"/>
    <x v="1"/>
    <x v="2"/>
    <x v="0"/>
    <x v="0"/>
    <x v="3"/>
    <n v="3"/>
    <n v="55.78"/>
    <x v="0"/>
    <n v="167.34"/>
    <n v="9.3800000000000008"/>
    <n v="65.92"/>
    <x v="1"/>
  </r>
  <r>
    <s v="ORD-10711"/>
    <x v="20"/>
    <s v="Mary Ferrari"/>
    <x v="1"/>
    <x v="8"/>
    <x v="1"/>
    <x v="1"/>
    <x v="6"/>
    <n v="5"/>
    <n v="10.25"/>
    <x v="0"/>
    <n v="51.25"/>
    <n v="18.89"/>
    <n v="9.3000000000000007"/>
    <x v="2"/>
  </r>
  <r>
    <s v="ORD-10383"/>
    <x v="21"/>
    <s v="Michael Harris"/>
    <x v="2"/>
    <x v="12"/>
    <x v="4"/>
    <x v="3"/>
    <x v="24"/>
    <n v="1"/>
    <n v="54.25"/>
    <x v="0"/>
    <n v="54.25"/>
    <n v="11.58"/>
    <n v="15.54"/>
    <x v="1"/>
  </r>
  <r>
    <s v="ORD-10435"/>
    <x v="22"/>
    <s v="Priya Martin"/>
    <x v="1"/>
    <x v="13"/>
    <x v="0"/>
    <x v="1"/>
    <x v="23"/>
    <n v="4"/>
    <n v="16.61"/>
    <x v="4"/>
    <n v="63.12"/>
    <n v="8.4"/>
    <n v="24.82"/>
    <x v="3"/>
  </r>
  <r>
    <s v="ORD-10017"/>
    <x v="23"/>
    <s v="Kenji Nilsson"/>
    <x v="2"/>
    <x v="9"/>
    <x v="3"/>
    <x v="3"/>
    <x v="26"/>
    <n v="3"/>
    <n v="18.32"/>
    <x v="0"/>
    <n v="54.96"/>
    <n v="12.91"/>
    <n v="14.57"/>
    <x v="1"/>
  </r>
  <r>
    <s v="ORD-11220"/>
    <x v="23"/>
    <s v="Amir Hassan"/>
    <x v="1"/>
    <x v="0"/>
    <x v="0"/>
    <x v="3"/>
    <x v="27"/>
    <n v="4"/>
    <n v="53.6"/>
    <x v="0"/>
    <n v="214.4"/>
    <n v="8.52"/>
    <n v="98.68"/>
    <x v="2"/>
  </r>
  <r>
    <s v="ORD-11237"/>
    <x v="23"/>
    <s v="Ahmed Garcia"/>
    <x v="2"/>
    <x v="17"/>
    <x v="3"/>
    <x v="2"/>
    <x v="14"/>
    <n v="4"/>
    <n v="429.23"/>
    <x v="4"/>
    <n v="1631.07"/>
    <n v="12.2"/>
    <n v="588.72"/>
    <x v="1"/>
  </r>
  <r>
    <s v="ORD-11655"/>
    <x v="23"/>
    <s v="Li Wang"/>
    <x v="0"/>
    <x v="18"/>
    <x v="4"/>
    <x v="0"/>
    <x v="28"/>
    <n v="2"/>
    <n v="28.99"/>
    <x v="3"/>
    <n v="52.18"/>
    <n v="12.7"/>
    <n v="7.59"/>
    <x v="1"/>
  </r>
  <r>
    <s v="ORD-11858"/>
    <x v="23"/>
    <s v="Ava Martinez"/>
    <x v="0"/>
    <x v="4"/>
    <x v="2"/>
    <x v="1"/>
    <x v="2"/>
    <n v="3"/>
    <n v="8.65"/>
    <x v="4"/>
    <n v="24.65"/>
    <n v="17.04"/>
    <n v="-4.07"/>
    <x v="1"/>
  </r>
  <r>
    <s v="ORD-10787"/>
    <x v="24"/>
    <s v="Ahmed Clark"/>
    <x v="1"/>
    <x v="13"/>
    <x v="0"/>
    <x v="0"/>
    <x v="29"/>
    <n v="3"/>
    <n v="19.940000000000001"/>
    <x v="0"/>
    <n v="59.82"/>
    <n v="8.61"/>
    <n v="18.309999999999999"/>
    <x v="3"/>
  </r>
  <r>
    <s v="ORD-10950"/>
    <x v="25"/>
    <s v="William Sharma"/>
    <x v="0"/>
    <x v="3"/>
    <x v="1"/>
    <x v="0"/>
    <x v="3"/>
    <n v="6"/>
    <n v="32.72"/>
    <x v="4"/>
    <n v="186.5"/>
    <n v="10.11"/>
    <n v="68.41"/>
    <x v="2"/>
  </r>
  <r>
    <s v="ORD-10374"/>
    <x v="26"/>
    <s v="Felix Smith"/>
    <x v="0"/>
    <x v="7"/>
    <x v="4"/>
    <x v="3"/>
    <x v="24"/>
    <n v="12"/>
    <n v="25.43"/>
    <x v="4"/>
    <n v="289.89999999999998"/>
    <n v="23.56"/>
    <n v="113.76"/>
    <x v="3"/>
  </r>
  <r>
    <s v="ORD-10745"/>
    <x v="26"/>
    <s v="Yuki Kumar"/>
    <x v="0"/>
    <x v="13"/>
    <x v="0"/>
    <x v="2"/>
    <x v="4"/>
    <n v="4"/>
    <n v="274.83"/>
    <x v="3"/>
    <n v="989.39"/>
    <n v="10.28"/>
    <n v="319.52"/>
    <x v="1"/>
  </r>
  <r>
    <s v="ORD-11670"/>
    <x v="26"/>
    <s v="Jamal Rossi"/>
    <x v="0"/>
    <x v="16"/>
    <x v="3"/>
    <x v="2"/>
    <x v="21"/>
    <n v="1"/>
    <n v="60.16"/>
    <x v="2"/>
    <n v="51.14"/>
    <n v="10.85"/>
    <n v="4.1900000000000004"/>
    <x v="3"/>
  </r>
  <r>
    <s v="ORD-11158"/>
    <x v="27"/>
    <s v="Maria Sharma"/>
    <x v="2"/>
    <x v="9"/>
    <x v="3"/>
    <x v="1"/>
    <x v="20"/>
    <n v="10"/>
    <n v="8.3699999999999992"/>
    <x v="2"/>
    <n v="71.14"/>
    <n v="24.19"/>
    <n v="9.2899999999999991"/>
    <x v="0"/>
  </r>
  <r>
    <s v="ORD-11430"/>
    <x v="27"/>
    <s v="Karen Martinez"/>
    <x v="2"/>
    <x v="7"/>
    <x v="4"/>
    <x v="1"/>
    <x v="10"/>
    <n v="1"/>
    <n v="4.78"/>
    <x v="3"/>
    <n v="4.3"/>
    <n v="11.84"/>
    <n v="-9.69"/>
    <x v="3"/>
  </r>
  <r>
    <s v="ORD-11760"/>
    <x v="27"/>
    <s v="Sakura Thomas"/>
    <x v="0"/>
    <x v="12"/>
    <x v="4"/>
    <x v="0"/>
    <x v="3"/>
    <n v="7"/>
    <n v="79.23"/>
    <x v="2"/>
    <n v="471.42"/>
    <n v="19.84"/>
    <n v="146.54"/>
    <x v="0"/>
  </r>
  <r>
    <s v="ORD-10720"/>
    <x v="28"/>
    <s v="Hans Chen"/>
    <x v="1"/>
    <x v="14"/>
    <x v="1"/>
    <x v="2"/>
    <x v="5"/>
    <n v="1"/>
    <n v="188.93"/>
    <x v="4"/>
    <n v="179.48"/>
    <n v="9.1999999999999993"/>
    <n v="56.92"/>
    <x v="0"/>
  </r>
  <r>
    <s v="ORD-11218"/>
    <x v="28"/>
    <s v="Lucas Sharma"/>
    <x v="1"/>
    <x v="18"/>
    <x v="4"/>
    <x v="3"/>
    <x v="13"/>
    <n v="10"/>
    <n v="138.69999999999999"/>
    <x v="2"/>
    <n v="1178.95"/>
    <n v="17.36"/>
    <n v="468.09"/>
    <x v="1"/>
  </r>
  <r>
    <s v="ORD-10384"/>
    <x v="29"/>
    <s v="Giulia Leroy"/>
    <x v="1"/>
    <x v="5"/>
    <x v="3"/>
    <x v="3"/>
    <x v="30"/>
    <n v="1"/>
    <n v="8.9600000000000009"/>
    <x v="0"/>
    <n v="8.9600000000000009"/>
    <n v="11.08"/>
    <n v="-6.6"/>
    <x v="2"/>
  </r>
  <r>
    <s v="ORD-11503"/>
    <x v="29"/>
    <s v="Felix Yamamoto"/>
    <x v="1"/>
    <x v="9"/>
    <x v="3"/>
    <x v="0"/>
    <x v="31"/>
    <n v="2"/>
    <n v="173.37"/>
    <x v="0"/>
    <n v="346.74"/>
    <n v="10.89"/>
    <n v="145.13999999999999"/>
    <x v="2"/>
  </r>
  <r>
    <s v="ORD-11711"/>
    <x v="29"/>
    <s v="Layla Khan"/>
    <x v="2"/>
    <x v="13"/>
    <x v="0"/>
    <x v="0"/>
    <x v="31"/>
    <n v="1"/>
    <n v="63.94"/>
    <x v="3"/>
    <n v="57.55"/>
    <n v="6.86"/>
    <n v="15.52"/>
    <x v="2"/>
  </r>
  <r>
    <s v="ORD-10098"/>
    <x v="30"/>
    <s v="Ava Jones"/>
    <x v="1"/>
    <x v="10"/>
    <x v="3"/>
    <x v="0"/>
    <x v="3"/>
    <n v="3"/>
    <n v="64.55"/>
    <x v="3"/>
    <n v="174.28"/>
    <n v="13.01"/>
    <n v="54.76"/>
    <x v="1"/>
  </r>
  <r>
    <s v="ORD-10314"/>
    <x v="30"/>
    <s v="Sakura Martin"/>
    <x v="0"/>
    <x v="9"/>
    <x v="3"/>
    <x v="1"/>
    <x v="23"/>
    <n v="5"/>
    <n v="14.53"/>
    <x v="4"/>
    <n v="69.02"/>
    <n v="11.87"/>
    <n v="24.46"/>
    <x v="1"/>
  </r>
  <r>
    <s v="ORD-10322"/>
    <x v="30"/>
    <s v="Maria Laurent"/>
    <x v="2"/>
    <x v="16"/>
    <x v="3"/>
    <x v="1"/>
    <x v="10"/>
    <n v="1"/>
    <n v="9.6300000000000008"/>
    <x v="3"/>
    <n v="8.67"/>
    <n v="10.44"/>
    <n v="-6.1"/>
    <x v="2"/>
  </r>
  <r>
    <s v="ORD-11507"/>
    <x v="31"/>
    <s v="Zara Suzuki"/>
    <x v="1"/>
    <x v="13"/>
    <x v="0"/>
    <x v="2"/>
    <x v="5"/>
    <n v="4"/>
    <n v="118.02"/>
    <x v="0"/>
    <n v="472.08"/>
    <n v="7.9"/>
    <n v="180.93"/>
    <x v="3"/>
  </r>
  <r>
    <s v="ORD-11683"/>
    <x v="31"/>
    <s v="Zara Costa"/>
    <x v="1"/>
    <x v="8"/>
    <x v="1"/>
    <x v="2"/>
    <x v="8"/>
    <n v="9"/>
    <n v="126.93"/>
    <x v="0"/>
    <n v="1142.3699999999999"/>
    <n v="23.14"/>
    <n v="433.81"/>
    <x v="2"/>
  </r>
  <r>
    <s v="ORD-10642"/>
    <x v="32"/>
    <s v="Olga Kim"/>
    <x v="1"/>
    <x v="12"/>
    <x v="4"/>
    <x v="2"/>
    <x v="4"/>
    <n v="8"/>
    <n v="289.70999999999998"/>
    <x v="3"/>
    <n v="2085.91"/>
    <n v="16.440000000000001"/>
    <n v="678.86"/>
    <x v="3"/>
  </r>
  <r>
    <s v="ORD-11011"/>
    <x v="32"/>
    <s v="Hans Kim"/>
    <x v="0"/>
    <x v="9"/>
    <x v="3"/>
    <x v="3"/>
    <x v="11"/>
    <n v="2"/>
    <n v="81.58"/>
    <x v="2"/>
    <n v="138.69"/>
    <n v="11.8"/>
    <n v="45.31"/>
    <x v="3"/>
  </r>
  <r>
    <s v="ORD-11270"/>
    <x v="32"/>
    <s v="Isabella White"/>
    <x v="1"/>
    <x v="14"/>
    <x v="1"/>
    <x v="0"/>
    <x v="22"/>
    <n v="9"/>
    <n v="111.98"/>
    <x v="4"/>
    <n v="957.43"/>
    <n v="24.38"/>
    <n v="378.75"/>
    <x v="1"/>
  </r>
  <r>
    <s v="ORD-11659"/>
    <x v="32"/>
    <s v="Emma Oliveira"/>
    <x v="1"/>
    <x v="3"/>
    <x v="1"/>
    <x v="3"/>
    <x v="9"/>
    <n v="3"/>
    <n v="45.99"/>
    <x v="0"/>
    <n v="137.97"/>
    <n v="12.68"/>
    <n v="56.3"/>
    <x v="1"/>
  </r>
  <r>
    <s v="ORD-10256"/>
    <x v="33"/>
    <s v="Michael Zhang"/>
    <x v="1"/>
    <x v="13"/>
    <x v="0"/>
    <x v="1"/>
    <x v="10"/>
    <n v="3"/>
    <n v="4.96"/>
    <x v="3"/>
    <n v="13.39"/>
    <n v="7.09"/>
    <n v="-0.4"/>
    <x v="0"/>
  </r>
  <r>
    <s v="ORD-10527"/>
    <x v="34"/>
    <s v="Hanna Ahmed"/>
    <x v="1"/>
    <x v="6"/>
    <x v="2"/>
    <x v="3"/>
    <x v="11"/>
    <n v="8"/>
    <n v="80.13"/>
    <x v="6"/>
    <n v="480.78"/>
    <n v="18.170000000000002"/>
    <n v="142.09"/>
    <x v="3"/>
  </r>
  <r>
    <s v="ORD-11082"/>
    <x v="34"/>
    <s v="Patricia MÃ¼ller"/>
    <x v="1"/>
    <x v="10"/>
    <x v="3"/>
    <x v="3"/>
    <x v="16"/>
    <n v="1"/>
    <n v="43.57"/>
    <x v="4"/>
    <n v="41.39"/>
    <n v="10.06"/>
    <n v="9.5399999999999991"/>
    <x v="2"/>
  </r>
  <r>
    <s v="ORD-10473"/>
    <x v="35"/>
    <s v="Kenji Zhang"/>
    <x v="0"/>
    <x v="0"/>
    <x v="0"/>
    <x v="0"/>
    <x v="31"/>
    <n v="2"/>
    <n v="143.15"/>
    <x v="4"/>
    <n v="271.99"/>
    <n v="8.58"/>
    <n v="105.94"/>
    <x v="1"/>
  </r>
  <r>
    <s v="ORD-11304"/>
    <x v="35"/>
    <s v="Ayumi Martinez"/>
    <x v="2"/>
    <x v="13"/>
    <x v="0"/>
    <x v="2"/>
    <x v="8"/>
    <n v="8"/>
    <n v="126.81"/>
    <x v="3"/>
    <n v="913.03"/>
    <n v="22.05"/>
    <n v="282.29000000000002"/>
    <x v="0"/>
  </r>
  <r>
    <s v="ORD-11560"/>
    <x v="36"/>
    <s v="Ayumi Nilsson"/>
    <x v="2"/>
    <x v="4"/>
    <x v="2"/>
    <x v="0"/>
    <x v="3"/>
    <n v="1"/>
    <n v="48.95"/>
    <x v="0"/>
    <n v="48.95"/>
    <n v="12.32"/>
    <n v="9.7100000000000009"/>
    <x v="2"/>
  </r>
  <r>
    <s v="ORD-11196"/>
    <x v="37"/>
    <s v="Mia Ali"/>
    <x v="0"/>
    <x v="0"/>
    <x v="0"/>
    <x v="2"/>
    <x v="32"/>
    <n v="2"/>
    <n v="47.62"/>
    <x v="4"/>
    <n v="90.48"/>
    <n v="8.3000000000000007"/>
    <n v="25.04"/>
    <x v="3"/>
  </r>
  <r>
    <s v="ORD-11355"/>
    <x v="37"/>
    <s v="Lucas Schmidt"/>
    <x v="2"/>
    <x v="10"/>
    <x v="3"/>
    <x v="0"/>
    <x v="0"/>
    <n v="1"/>
    <n v="238.37"/>
    <x v="2"/>
    <n v="202.61"/>
    <n v="11.03"/>
    <n v="60.48"/>
    <x v="1"/>
  </r>
  <r>
    <s v="ORD-11569"/>
    <x v="37"/>
    <s v="Barbara Davis"/>
    <x v="1"/>
    <x v="8"/>
    <x v="1"/>
    <x v="3"/>
    <x v="27"/>
    <n v="5"/>
    <n v="39.22"/>
    <x v="3"/>
    <n v="176.49"/>
    <n v="17.7"/>
    <n v="60.74"/>
    <x v="1"/>
  </r>
  <r>
    <s v="ORD-10916"/>
    <x v="38"/>
    <s v="Jessica Wang"/>
    <x v="0"/>
    <x v="16"/>
    <x v="3"/>
    <x v="3"/>
    <x v="13"/>
    <n v="2"/>
    <n v="72.23"/>
    <x v="1"/>
    <n v="115.57"/>
    <n v="13.08"/>
    <n v="30.26"/>
    <x v="1"/>
  </r>
  <r>
    <s v="ORD-10837"/>
    <x v="39"/>
    <s v="Jamal Zhang"/>
    <x v="1"/>
    <x v="4"/>
    <x v="2"/>
    <x v="3"/>
    <x v="33"/>
    <n v="3"/>
    <n v="35.6"/>
    <x v="4"/>
    <n v="101.46"/>
    <n v="15.03"/>
    <n v="33.03"/>
    <x v="1"/>
  </r>
  <r>
    <s v="ORD-10855"/>
    <x v="39"/>
    <s v="Felix Johansson"/>
    <x v="1"/>
    <x v="13"/>
    <x v="0"/>
    <x v="1"/>
    <x v="19"/>
    <n v="5"/>
    <n v="4.37"/>
    <x v="2"/>
    <n v="18.57"/>
    <n v="11.28"/>
    <n v="-2.54"/>
    <x v="2"/>
  </r>
  <r>
    <s v="ORD-11065"/>
    <x v="39"/>
    <s v="Priya Wang"/>
    <x v="1"/>
    <x v="19"/>
    <x v="1"/>
    <x v="3"/>
    <x v="26"/>
    <n v="2"/>
    <n v="20.92"/>
    <x v="0"/>
    <n v="41.84"/>
    <n v="10.6"/>
    <n v="10.32"/>
    <x v="0"/>
  </r>
  <r>
    <s v="ORD-11922"/>
    <x v="40"/>
    <s v="Sophie Park"/>
    <x v="1"/>
    <x v="2"/>
    <x v="0"/>
    <x v="3"/>
    <x v="33"/>
    <n v="4"/>
    <n v="54.4"/>
    <x v="4"/>
    <n v="206.72"/>
    <n v="7.53"/>
    <n v="90.39"/>
    <x v="0"/>
  </r>
  <r>
    <s v="ORD-10594"/>
    <x v="41"/>
    <s v="Ayumi Khan"/>
    <x v="1"/>
    <x v="0"/>
    <x v="0"/>
    <x v="0"/>
    <x v="18"/>
    <n v="8"/>
    <n v="72.89"/>
    <x v="0"/>
    <n v="583.12"/>
    <n v="14.27"/>
    <n v="248.13"/>
    <x v="1"/>
  </r>
  <r>
    <s v="ORD-11419"/>
    <x v="41"/>
    <s v="Michael Davis"/>
    <x v="1"/>
    <x v="5"/>
    <x v="3"/>
    <x v="2"/>
    <x v="34"/>
    <n v="6"/>
    <n v="54.39"/>
    <x v="0"/>
    <n v="326.33999999999997"/>
    <n v="17.34"/>
    <n v="113.2"/>
    <x v="2"/>
  </r>
  <r>
    <s v="ORD-11624"/>
    <x v="41"/>
    <s v="Felix Thompson"/>
    <x v="1"/>
    <x v="13"/>
    <x v="0"/>
    <x v="2"/>
    <x v="15"/>
    <n v="6"/>
    <n v="472.56"/>
    <x v="0"/>
    <n v="2835.36"/>
    <n v="19.09"/>
    <n v="1115.05"/>
    <x v="2"/>
  </r>
  <r>
    <s v="ORD-11855"/>
    <x v="41"/>
    <s v="Hans Johnson"/>
    <x v="1"/>
    <x v="10"/>
    <x v="3"/>
    <x v="0"/>
    <x v="31"/>
    <n v="1"/>
    <n v="133.63"/>
    <x v="0"/>
    <n v="133.63"/>
    <n v="9.94"/>
    <n v="50.19"/>
    <x v="2"/>
  </r>
  <r>
    <s v="ORD-10843"/>
    <x v="42"/>
    <s v="Jennifer Moreau"/>
    <x v="0"/>
    <x v="13"/>
    <x v="0"/>
    <x v="0"/>
    <x v="29"/>
    <n v="2"/>
    <n v="32.06"/>
    <x v="0"/>
    <n v="64.12"/>
    <n v="7.82"/>
    <n v="21.03"/>
    <x v="0"/>
  </r>
  <r>
    <s v="ORD-11306"/>
    <x v="42"/>
    <s v="Mia MÃ¼ller"/>
    <x v="2"/>
    <x v="8"/>
    <x v="1"/>
    <x v="0"/>
    <x v="35"/>
    <n v="4"/>
    <n v="36.01"/>
    <x v="2"/>
    <n v="122.43"/>
    <n v="10.44"/>
    <n v="32.770000000000003"/>
    <x v="1"/>
  </r>
  <r>
    <s v="ORD-10392"/>
    <x v="43"/>
    <s v="Priya Martinez"/>
    <x v="0"/>
    <x v="0"/>
    <x v="0"/>
    <x v="1"/>
    <x v="10"/>
    <n v="4"/>
    <n v="7.24"/>
    <x v="3"/>
    <n v="26.06"/>
    <n v="8.85"/>
    <n v="4.18"/>
    <x v="1"/>
  </r>
  <r>
    <s v="ORD-11302"/>
    <x v="43"/>
    <s v="Fatima Suzuki"/>
    <x v="2"/>
    <x v="18"/>
    <x v="4"/>
    <x v="0"/>
    <x v="35"/>
    <n v="3"/>
    <n v="60.99"/>
    <x v="0"/>
    <n v="182.97"/>
    <n v="12.03"/>
    <n v="70.31"/>
    <x v="1"/>
  </r>
  <r>
    <s v="ORD-11205"/>
    <x v="44"/>
    <s v="Zara White"/>
    <x v="1"/>
    <x v="19"/>
    <x v="1"/>
    <x v="1"/>
    <x v="2"/>
    <n v="6"/>
    <n v="7.14"/>
    <x v="0"/>
    <n v="42.84"/>
    <n v="12.59"/>
    <n v="10.97"/>
    <x v="2"/>
  </r>
  <r>
    <s v="ORD-10892"/>
    <x v="45"/>
    <s v="Felix Moreau"/>
    <x v="1"/>
    <x v="1"/>
    <x v="1"/>
    <x v="1"/>
    <x v="19"/>
    <n v="2"/>
    <n v="8.06"/>
    <x v="2"/>
    <n v="13.7"/>
    <n v="10.44"/>
    <n v="-3.99"/>
    <x v="3"/>
  </r>
  <r>
    <s v="ORD-11175"/>
    <x v="45"/>
    <s v="Ethan Hassan"/>
    <x v="0"/>
    <x v="5"/>
    <x v="3"/>
    <x v="3"/>
    <x v="11"/>
    <n v="2"/>
    <n v="31.71"/>
    <x v="4"/>
    <n v="60.25"/>
    <n v="10.63"/>
    <n v="17.91"/>
    <x v="3"/>
  </r>
  <r>
    <s v="ORD-11598"/>
    <x v="46"/>
    <s v="Ingrid Schmidt"/>
    <x v="1"/>
    <x v="3"/>
    <x v="1"/>
    <x v="2"/>
    <x v="8"/>
    <n v="6"/>
    <n v="82.3"/>
    <x v="0"/>
    <n v="493.8"/>
    <n v="12.43"/>
    <n v="185.09"/>
    <x v="2"/>
  </r>
  <r>
    <s v="ORD-10113"/>
    <x v="47"/>
    <s v="Mia Harris"/>
    <x v="1"/>
    <x v="0"/>
    <x v="0"/>
    <x v="0"/>
    <x v="3"/>
    <n v="1"/>
    <n v="77.48"/>
    <x v="0"/>
    <n v="77.48"/>
    <n v="7.16"/>
    <n v="27.71"/>
    <x v="2"/>
  </r>
  <r>
    <s v="ORD-10646"/>
    <x v="47"/>
    <s v="Sophie Harris"/>
    <x v="1"/>
    <x v="12"/>
    <x v="4"/>
    <x v="1"/>
    <x v="10"/>
    <n v="9"/>
    <n v="7.24"/>
    <x v="0"/>
    <n v="65.16"/>
    <n v="18.95"/>
    <n v="16.89"/>
    <x v="2"/>
  </r>
  <r>
    <s v="ORD-11378"/>
    <x v="47"/>
    <s v="Michael Hassan"/>
    <x v="0"/>
    <x v="17"/>
    <x v="3"/>
    <x v="1"/>
    <x v="25"/>
    <n v="12"/>
    <n v="5.63"/>
    <x v="4"/>
    <n v="64.180000000000007"/>
    <n v="31.26"/>
    <n v="2.52"/>
    <x v="1"/>
  </r>
  <r>
    <s v="ORD-11900"/>
    <x v="47"/>
    <s v="Oscar Jones"/>
    <x v="1"/>
    <x v="13"/>
    <x v="0"/>
    <x v="3"/>
    <x v="26"/>
    <n v="2"/>
    <n v="26.25"/>
    <x v="3"/>
    <n v="47.25"/>
    <n v="6.27"/>
    <n v="14.73"/>
    <x v="1"/>
  </r>
  <r>
    <s v="ORD-11523"/>
    <x v="48"/>
    <s v="Giulia Ali"/>
    <x v="1"/>
    <x v="16"/>
    <x v="3"/>
    <x v="0"/>
    <x v="31"/>
    <n v="2"/>
    <n v="135.29"/>
    <x v="0"/>
    <n v="270.58"/>
    <n v="10.07"/>
    <n v="111.69"/>
    <x v="0"/>
  </r>
  <r>
    <s v="ORD-10233"/>
    <x v="49"/>
    <s v="Fatima Rossi"/>
    <x v="1"/>
    <x v="10"/>
    <x v="3"/>
    <x v="2"/>
    <x v="34"/>
    <n v="1"/>
    <n v="24.66"/>
    <x v="0"/>
    <n v="24.66"/>
    <n v="11.27"/>
    <n v="-1.41"/>
    <x v="1"/>
  </r>
  <r>
    <s v="ORD-10605"/>
    <x v="49"/>
    <s v="Yuki Patel"/>
    <x v="0"/>
    <x v="9"/>
    <x v="3"/>
    <x v="0"/>
    <x v="1"/>
    <n v="4"/>
    <n v="165.1"/>
    <x v="4"/>
    <n v="627.38"/>
    <n v="15.44"/>
    <n v="248.72"/>
    <x v="1"/>
  </r>
  <r>
    <s v="ORD-10907"/>
    <x v="49"/>
    <s v="Mia Clark"/>
    <x v="1"/>
    <x v="3"/>
    <x v="1"/>
    <x v="1"/>
    <x v="23"/>
    <n v="2"/>
    <n v="11.57"/>
    <x v="6"/>
    <n v="17.36"/>
    <n v="8.09"/>
    <n v="-1.1399999999999999"/>
    <x v="0"/>
  </r>
  <r>
    <s v="ORD-11202"/>
    <x v="49"/>
    <s v="Mary Smith"/>
    <x v="2"/>
    <x v="0"/>
    <x v="0"/>
    <x v="2"/>
    <x v="36"/>
    <n v="1"/>
    <n v="113.52"/>
    <x v="3"/>
    <n v="102.17"/>
    <n v="7.35"/>
    <n v="26.71"/>
    <x v="1"/>
  </r>
  <r>
    <s v="ORD-11294"/>
    <x v="49"/>
    <s v="Ayumi Suzuki"/>
    <x v="0"/>
    <x v="10"/>
    <x v="3"/>
    <x v="1"/>
    <x v="17"/>
    <n v="4"/>
    <n v="9.18"/>
    <x v="1"/>
    <n v="29.38"/>
    <n v="12.6"/>
    <n v="0.26"/>
    <x v="2"/>
  </r>
  <r>
    <s v="ORD-11673"/>
    <x v="49"/>
    <s v="Elizabeth Moreau"/>
    <x v="2"/>
    <x v="10"/>
    <x v="3"/>
    <x v="0"/>
    <x v="0"/>
    <n v="2"/>
    <n v="201.32"/>
    <x v="0"/>
    <n v="402.64"/>
    <n v="13.72"/>
    <n v="167.47"/>
    <x v="2"/>
  </r>
  <r>
    <s v="ORD-11217"/>
    <x v="50"/>
    <s v="Jamal Martinez"/>
    <x v="1"/>
    <x v="13"/>
    <x v="0"/>
    <x v="0"/>
    <x v="1"/>
    <n v="9"/>
    <n v="90.24"/>
    <x v="3"/>
    <n v="730.94"/>
    <n v="18.86"/>
    <n v="265.39"/>
    <x v="1"/>
  </r>
  <r>
    <s v="ORD-10246"/>
    <x v="51"/>
    <s v="Barbara Ali"/>
    <x v="0"/>
    <x v="10"/>
    <x v="3"/>
    <x v="1"/>
    <x v="23"/>
    <n v="1"/>
    <n v="18.57"/>
    <x v="0"/>
    <n v="18.57"/>
    <n v="9.91"/>
    <n v="0.3"/>
    <x v="1"/>
  </r>
  <r>
    <s v="ORD-11135"/>
    <x v="52"/>
    <s v="Lucas Anderson"/>
    <x v="1"/>
    <x v="8"/>
    <x v="1"/>
    <x v="3"/>
    <x v="37"/>
    <n v="3"/>
    <n v="29.57"/>
    <x v="3"/>
    <n v="79.84"/>
    <n v="10.88"/>
    <n v="24.6"/>
    <x v="3"/>
  </r>
  <r>
    <s v="ORD-10620"/>
    <x v="53"/>
    <s v="Omar Garcia"/>
    <x v="1"/>
    <x v="5"/>
    <x v="3"/>
    <x v="1"/>
    <x v="6"/>
    <n v="1"/>
    <n v="11.17"/>
    <x v="1"/>
    <n v="8.94"/>
    <n v="10.07"/>
    <n v="-6.16"/>
    <x v="1"/>
  </r>
  <r>
    <s v="ORD-11279"/>
    <x v="53"/>
    <s v="Clara Miller"/>
    <x v="1"/>
    <x v="0"/>
    <x v="0"/>
    <x v="1"/>
    <x v="12"/>
    <n v="8"/>
    <n v="20.92"/>
    <x v="0"/>
    <n v="167.36"/>
    <n v="18.97"/>
    <n v="73.08"/>
    <x v="3"/>
  </r>
  <r>
    <s v="ORD-10124"/>
    <x v="54"/>
    <s v="David Harris"/>
    <x v="0"/>
    <x v="3"/>
    <x v="1"/>
    <x v="1"/>
    <x v="17"/>
    <n v="5"/>
    <n v="11.95"/>
    <x v="3"/>
    <n v="53.77"/>
    <n v="14.79"/>
    <n v="12.09"/>
    <x v="1"/>
  </r>
  <r>
    <s v="ORD-10242"/>
    <x v="54"/>
    <s v="James Chen"/>
    <x v="2"/>
    <x v="1"/>
    <x v="1"/>
    <x v="2"/>
    <x v="8"/>
    <n v="3"/>
    <n v="59.88"/>
    <x v="1"/>
    <n v="143.71"/>
    <n v="9.34"/>
    <n v="26.59"/>
    <x v="3"/>
  </r>
  <r>
    <s v="ORD-10915"/>
    <x v="54"/>
    <s v="Ahmed Harris"/>
    <x v="1"/>
    <x v="18"/>
    <x v="4"/>
    <x v="2"/>
    <x v="21"/>
    <n v="6"/>
    <n v="99.69"/>
    <x v="0"/>
    <n v="598.14"/>
    <n v="18.010000000000002"/>
    <n v="221.25"/>
    <x v="1"/>
  </r>
  <r>
    <s v="ORD-11632"/>
    <x v="54"/>
    <s v="Elizabeth Ahmed"/>
    <x v="0"/>
    <x v="18"/>
    <x v="4"/>
    <x v="2"/>
    <x v="15"/>
    <n v="1"/>
    <n v="354.67"/>
    <x v="4"/>
    <n v="336.94"/>
    <n v="12.41"/>
    <n v="111.73"/>
    <x v="1"/>
  </r>
  <r>
    <s v="ORD-11184"/>
    <x v="55"/>
    <s v="Fatima Kumar"/>
    <x v="1"/>
    <x v="11"/>
    <x v="2"/>
    <x v="1"/>
    <x v="6"/>
    <n v="4"/>
    <n v="22.67"/>
    <x v="0"/>
    <n v="90.68"/>
    <n v="14.32"/>
    <n v="35.549999999999997"/>
    <x v="3"/>
  </r>
  <r>
    <s v="ORD-10874"/>
    <x v="56"/>
    <s v="Mia Martin"/>
    <x v="0"/>
    <x v="13"/>
    <x v="0"/>
    <x v="1"/>
    <x v="2"/>
    <n v="4"/>
    <n v="5.48"/>
    <x v="4"/>
    <n v="20.82"/>
    <n v="12"/>
    <n v="-1.04"/>
    <x v="0"/>
  </r>
  <r>
    <s v="ORD-11668"/>
    <x v="56"/>
    <s v="Robert Robinson"/>
    <x v="2"/>
    <x v="3"/>
    <x v="1"/>
    <x v="0"/>
    <x v="1"/>
    <n v="8"/>
    <n v="107.75"/>
    <x v="3"/>
    <n v="775.8"/>
    <n v="14.93"/>
    <n v="286.77"/>
    <x v="1"/>
  </r>
  <r>
    <s v="ORD-11260"/>
    <x v="57"/>
    <s v="Liam Jones"/>
    <x v="1"/>
    <x v="3"/>
    <x v="1"/>
    <x v="1"/>
    <x v="2"/>
    <n v="1"/>
    <n v="11.11"/>
    <x v="0"/>
    <n v="11.11"/>
    <n v="8.11"/>
    <n v="-2"/>
    <x v="0"/>
  </r>
  <r>
    <s v="ORD-10953"/>
    <x v="58"/>
    <s v="Emma Johnson"/>
    <x v="0"/>
    <x v="3"/>
    <x v="1"/>
    <x v="0"/>
    <x v="18"/>
    <n v="2"/>
    <n v="27.32"/>
    <x v="3"/>
    <n v="49.18"/>
    <n v="10.1"/>
    <n v="9.0299999999999994"/>
    <x v="1"/>
  </r>
  <r>
    <s v="ORD-10521"/>
    <x v="59"/>
    <s v="Mia Santos"/>
    <x v="1"/>
    <x v="16"/>
    <x v="3"/>
    <x v="1"/>
    <x v="6"/>
    <n v="5"/>
    <n v="19.739999999999998"/>
    <x v="0"/>
    <n v="98.7"/>
    <n v="17.03"/>
    <n v="37.26"/>
    <x v="1"/>
  </r>
  <r>
    <s v="ORD-11545"/>
    <x v="59"/>
    <s v="Susan Kim"/>
    <x v="1"/>
    <x v="15"/>
    <x v="2"/>
    <x v="3"/>
    <x v="11"/>
    <n v="3"/>
    <n v="70.31"/>
    <x v="0"/>
    <n v="210.93"/>
    <n v="15.46"/>
    <n v="90"/>
    <x v="2"/>
  </r>
  <r>
    <s v="ORD-10070"/>
    <x v="60"/>
    <s v="Amir Khan"/>
    <x v="0"/>
    <x v="4"/>
    <x v="2"/>
    <x v="0"/>
    <x v="22"/>
    <n v="5"/>
    <n v="149.77000000000001"/>
    <x v="3"/>
    <n v="673.97"/>
    <n v="14.48"/>
    <n v="247.62"/>
    <x v="2"/>
  </r>
  <r>
    <s v="ORD-11006"/>
    <x v="60"/>
    <s v="Barbara Leroy"/>
    <x v="2"/>
    <x v="2"/>
    <x v="0"/>
    <x v="0"/>
    <x v="1"/>
    <n v="2"/>
    <n v="54.94"/>
    <x v="0"/>
    <n v="109.88"/>
    <n v="8.77"/>
    <n v="40.68"/>
    <x v="1"/>
  </r>
  <r>
    <s v="ORD-10744"/>
    <x v="61"/>
    <s v="Thomas Patel"/>
    <x v="1"/>
    <x v="18"/>
    <x v="4"/>
    <x v="3"/>
    <x v="37"/>
    <n v="5"/>
    <n v="61.18"/>
    <x v="3"/>
    <n v="275.31"/>
    <n v="14.66"/>
    <n v="107.7"/>
    <x v="1"/>
  </r>
  <r>
    <s v="ORD-10861"/>
    <x v="61"/>
    <s v="Isabella Martin"/>
    <x v="1"/>
    <x v="5"/>
    <x v="3"/>
    <x v="1"/>
    <x v="2"/>
    <n v="2"/>
    <n v="14.59"/>
    <x v="0"/>
    <n v="29.18"/>
    <n v="12.25"/>
    <n v="3.8"/>
    <x v="2"/>
  </r>
  <r>
    <s v="ORD-10676"/>
    <x v="62"/>
    <s v="Wei Chen"/>
    <x v="1"/>
    <x v="6"/>
    <x v="2"/>
    <x v="0"/>
    <x v="1"/>
    <n v="3"/>
    <n v="174.46"/>
    <x v="0"/>
    <n v="523.38"/>
    <n v="14.65"/>
    <n v="220.87"/>
    <x v="1"/>
  </r>
  <r>
    <s v="ORD-11064"/>
    <x v="63"/>
    <s v="Karen Jackson"/>
    <x v="1"/>
    <x v="9"/>
    <x v="3"/>
    <x v="3"/>
    <x v="37"/>
    <n v="1"/>
    <n v="28.85"/>
    <x v="2"/>
    <n v="24.52"/>
    <n v="10.81"/>
    <n v="-0.72"/>
    <x v="0"/>
  </r>
  <r>
    <s v="ORD-11786"/>
    <x v="63"/>
    <s v="Felix Santos"/>
    <x v="2"/>
    <x v="8"/>
    <x v="1"/>
    <x v="2"/>
    <x v="14"/>
    <n v="3"/>
    <n v="323.91000000000003"/>
    <x v="2"/>
    <n v="825.97"/>
    <n v="9.35"/>
    <n v="233.58"/>
    <x v="2"/>
  </r>
  <r>
    <s v="ORD-10637"/>
    <x v="64"/>
    <s v="Mia Weber"/>
    <x v="1"/>
    <x v="0"/>
    <x v="0"/>
    <x v="1"/>
    <x v="38"/>
    <n v="2"/>
    <n v="11.39"/>
    <x v="0"/>
    <n v="22.78"/>
    <n v="8.57"/>
    <n v="3.96"/>
    <x v="3"/>
  </r>
  <r>
    <s v="ORD-10863"/>
    <x v="65"/>
    <s v="Jessica Anderson"/>
    <x v="1"/>
    <x v="11"/>
    <x v="2"/>
    <x v="2"/>
    <x v="21"/>
    <n v="5"/>
    <n v="64.099999999999994"/>
    <x v="4"/>
    <n v="304.47000000000003"/>
    <n v="17.489999999999998"/>
    <n v="94.68"/>
    <x v="1"/>
  </r>
  <r>
    <s v="ORD-11917"/>
    <x v="66"/>
    <s v="Fatima Li"/>
    <x v="1"/>
    <x v="0"/>
    <x v="0"/>
    <x v="1"/>
    <x v="20"/>
    <n v="2"/>
    <n v="6.29"/>
    <x v="0"/>
    <n v="12.58"/>
    <n v="7.22"/>
    <n v="-0.3"/>
    <x v="3"/>
  </r>
  <r>
    <s v="ORD-10020"/>
    <x v="67"/>
    <s v="Pierre Yamamoto"/>
    <x v="1"/>
    <x v="6"/>
    <x v="2"/>
    <x v="2"/>
    <x v="8"/>
    <n v="2"/>
    <n v="90.87"/>
    <x v="0"/>
    <n v="181.74"/>
    <n v="14.68"/>
    <n v="58.02"/>
    <x v="1"/>
  </r>
  <r>
    <s v="ORD-11090"/>
    <x v="67"/>
    <s v="Hanna Jones"/>
    <x v="0"/>
    <x v="5"/>
    <x v="3"/>
    <x v="2"/>
    <x v="14"/>
    <n v="12"/>
    <n v="334.56"/>
    <x v="4"/>
    <n v="3813.98"/>
    <n v="35.07"/>
    <n v="1370.08"/>
    <x v="2"/>
  </r>
  <r>
    <s v="ORD-11712"/>
    <x v="67"/>
    <s v="Felix Park"/>
    <x v="1"/>
    <x v="7"/>
    <x v="4"/>
    <x v="2"/>
    <x v="21"/>
    <n v="4"/>
    <n v="68.83"/>
    <x v="0"/>
    <n v="275.32"/>
    <n v="19.78"/>
    <n v="90.35"/>
    <x v="3"/>
  </r>
  <r>
    <s v="ORD-10887"/>
    <x v="68"/>
    <s v="Mia Ferrari"/>
    <x v="1"/>
    <x v="17"/>
    <x v="3"/>
    <x v="3"/>
    <x v="30"/>
    <n v="2"/>
    <n v="10.37"/>
    <x v="0"/>
    <n v="20.74"/>
    <n v="12.31"/>
    <n v="-1.94"/>
    <x v="2"/>
  </r>
  <r>
    <s v="ORD-11156"/>
    <x v="69"/>
    <s v="Omar Leroy"/>
    <x v="0"/>
    <x v="13"/>
    <x v="0"/>
    <x v="3"/>
    <x v="27"/>
    <n v="2"/>
    <n v="52.89"/>
    <x v="0"/>
    <n v="105.78"/>
    <n v="6.27"/>
    <n v="46.62"/>
    <x v="0"/>
  </r>
  <r>
    <s v="ORD-11633"/>
    <x v="69"/>
    <s v="Carlos Smith"/>
    <x v="2"/>
    <x v="0"/>
    <x v="0"/>
    <x v="2"/>
    <x v="34"/>
    <n v="11"/>
    <n v="30.48"/>
    <x v="0"/>
    <n v="335.28"/>
    <n v="29.96"/>
    <n v="104.15"/>
    <x v="1"/>
  </r>
  <r>
    <s v="ORD-10103"/>
    <x v="70"/>
    <s v="Barbara Russo"/>
    <x v="0"/>
    <x v="1"/>
    <x v="1"/>
    <x v="3"/>
    <x v="26"/>
    <n v="3"/>
    <n v="24.22"/>
    <x v="4"/>
    <n v="69.03"/>
    <n v="8.8699999999999992"/>
    <n v="23.83"/>
    <x v="1"/>
  </r>
  <r>
    <s v="ORD-10132"/>
    <x v="70"/>
    <s v="Fatima Singh"/>
    <x v="0"/>
    <x v="12"/>
    <x v="4"/>
    <x v="0"/>
    <x v="0"/>
    <n v="5"/>
    <n v="239.45"/>
    <x v="4"/>
    <n v="1137.3900000000001"/>
    <n v="14.61"/>
    <n v="464.29"/>
    <x v="2"/>
  </r>
  <r>
    <s v="ORD-11007"/>
    <x v="70"/>
    <s v="Olga Russo"/>
    <x v="1"/>
    <x v="10"/>
    <x v="3"/>
    <x v="2"/>
    <x v="39"/>
    <n v="4"/>
    <n v="210.65"/>
    <x v="0"/>
    <n v="842.6"/>
    <n v="11.11"/>
    <n v="325.93"/>
    <x v="1"/>
  </r>
  <r>
    <s v="ORD-10395"/>
    <x v="71"/>
    <s v="Emma Pereira"/>
    <x v="1"/>
    <x v="13"/>
    <x v="0"/>
    <x v="3"/>
    <x v="16"/>
    <n v="9"/>
    <n v="32.74"/>
    <x v="3"/>
    <n v="265.19"/>
    <n v="19.149999999999999"/>
    <n v="98.71"/>
    <x v="2"/>
  </r>
  <r>
    <s v="ORD-11318"/>
    <x v="71"/>
    <s v="Thomas Chen"/>
    <x v="1"/>
    <x v="1"/>
    <x v="1"/>
    <x v="3"/>
    <x v="13"/>
    <n v="3"/>
    <n v="135.29"/>
    <x v="3"/>
    <n v="365.28"/>
    <n v="9.08"/>
    <n v="153.26"/>
    <x v="1"/>
  </r>
  <r>
    <s v="ORD-10252"/>
    <x v="72"/>
    <s v="Carlos Anderson"/>
    <x v="2"/>
    <x v="6"/>
    <x v="2"/>
    <x v="3"/>
    <x v="37"/>
    <n v="6"/>
    <n v="30.52"/>
    <x v="0"/>
    <n v="183.12"/>
    <n v="21.14"/>
    <n v="70.42"/>
    <x v="1"/>
  </r>
  <r>
    <s v="ORD-10450"/>
    <x v="72"/>
    <s v="Ayumi Johnson"/>
    <x v="1"/>
    <x v="2"/>
    <x v="0"/>
    <x v="0"/>
    <x v="31"/>
    <n v="4"/>
    <n v="113.34"/>
    <x v="2"/>
    <n v="385.36"/>
    <n v="8.19"/>
    <n v="127.82"/>
    <x v="2"/>
  </r>
  <r>
    <s v="ORD-11088"/>
    <x v="72"/>
    <s v="Hans Santos"/>
    <x v="1"/>
    <x v="13"/>
    <x v="0"/>
    <x v="1"/>
    <x v="6"/>
    <n v="5"/>
    <n v="11.27"/>
    <x v="4"/>
    <n v="53.53"/>
    <n v="12"/>
    <n v="16.170000000000002"/>
    <x v="3"/>
  </r>
  <r>
    <s v="ORD-11452"/>
    <x v="72"/>
    <s v="Thomas Oliveira"/>
    <x v="0"/>
    <x v="0"/>
    <x v="0"/>
    <x v="1"/>
    <x v="10"/>
    <n v="1"/>
    <n v="5.67"/>
    <x v="2"/>
    <n v="4.82"/>
    <n v="5.95"/>
    <n v="-3.68"/>
    <x v="1"/>
  </r>
  <r>
    <s v="ORD-11478"/>
    <x v="72"/>
    <s v="Oscar Taylor"/>
    <x v="2"/>
    <x v="5"/>
    <x v="3"/>
    <x v="0"/>
    <x v="22"/>
    <n v="1"/>
    <n v="116.12"/>
    <x v="3"/>
    <n v="104.51"/>
    <n v="10.18"/>
    <n v="30.46"/>
    <x v="1"/>
  </r>
  <r>
    <s v="ORD-11231"/>
    <x v="73"/>
    <s v="Emma Brown"/>
    <x v="1"/>
    <x v="1"/>
    <x v="1"/>
    <x v="0"/>
    <x v="22"/>
    <n v="1"/>
    <n v="85.63"/>
    <x v="4"/>
    <n v="81.349999999999994"/>
    <n v="8.86"/>
    <n v="25.39"/>
    <x v="3"/>
  </r>
  <r>
    <s v="ORD-11479"/>
    <x v="74"/>
    <s v="Susan White"/>
    <x v="0"/>
    <x v="9"/>
    <x v="3"/>
    <x v="2"/>
    <x v="39"/>
    <n v="1"/>
    <n v="199.74"/>
    <x v="1"/>
    <n v="159.79"/>
    <n v="9.67"/>
    <n v="30.28"/>
    <x v="0"/>
  </r>
  <r>
    <s v="ORD-10821"/>
    <x v="75"/>
    <s v="Nadia Weber"/>
    <x v="1"/>
    <x v="3"/>
    <x v="1"/>
    <x v="0"/>
    <x v="18"/>
    <n v="2"/>
    <n v="34.22"/>
    <x v="0"/>
    <n v="68.44"/>
    <n v="9.2200000000000006"/>
    <n v="21.58"/>
    <x v="2"/>
  </r>
  <r>
    <s v="ORD-11766"/>
    <x v="75"/>
    <s v="James Anderson"/>
    <x v="0"/>
    <x v="0"/>
    <x v="0"/>
    <x v="3"/>
    <x v="27"/>
    <n v="3"/>
    <n v="37.69"/>
    <x v="5"/>
    <n v="79.150000000000006"/>
    <n v="7.34"/>
    <n v="15.28"/>
    <x v="2"/>
  </r>
  <r>
    <s v="ORD-11000"/>
    <x v="76"/>
    <s v="Olga Zhang"/>
    <x v="0"/>
    <x v="15"/>
    <x v="2"/>
    <x v="3"/>
    <x v="27"/>
    <n v="1"/>
    <n v="42.86"/>
    <x v="4"/>
    <n v="40.72"/>
    <n v="12.14"/>
    <n v="7.15"/>
    <x v="3"/>
  </r>
  <r>
    <s v="ORD-11002"/>
    <x v="76"/>
    <s v="Nadia Santos"/>
    <x v="1"/>
    <x v="12"/>
    <x v="4"/>
    <x v="0"/>
    <x v="29"/>
    <n v="4"/>
    <n v="24.85"/>
    <x v="2"/>
    <n v="84.49"/>
    <n v="15.38"/>
    <n v="14.44"/>
    <x v="2"/>
  </r>
  <r>
    <s v="ORD-11631"/>
    <x v="76"/>
    <s v="Lucas Kim"/>
    <x v="1"/>
    <x v="6"/>
    <x v="2"/>
    <x v="2"/>
    <x v="4"/>
    <n v="6"/>
    <n v="241.26"/>
    <x v="0"/>
    <n v="1447.56"/>
    <n v="14.56"/>
    <n v="564.46"/>
    <x v="1"/>
  </r>
  <r>
    <s v="ORD-11784"/>
    <x v="76"/>
    <s v="Hans Laurent"/>
    <x v="1"/>
    <x v="15"/>
    <x v="2"/>
    <x v="2"/>
    <x v="21"/>
    <n v="1"/>
    <n v="67.62"/>
    <x v="0"/>
    <n v="67.62"/>
    <n v="11.63"/>
    <n v="15.42"/>
    <x v="0"/>
  </r>
  <r>
    <s v="ORD-10578"/>
    <x v="77"/>
    <s v="William Nilsson"/>
    <x v="0"/>
    <x v="1"/>
    <x v="1"/>
    <x v="2"/>
    <x v="15"/>
    <n v="1"/>
    <n v="268.98"/>
    <x v="0"/>
    <n v="268.98"/>
    <n v="8.56"/>
    <n v="99.03"/>
    <x v="1"/>
  </r>
  <r>
    <s v="ORD-10306"/>
    <x v="78"/>
    <s v="James Sharma"/>
    <x v="0"/>
    <x v="2"/>
    <x v="0"/>
    <x v="1"/>
    <x v="25"/>
    <n v="3"/>
    <n v="9.65"/>
    <x v="4"/>
    <n v="27.5"/>
    <n v="10.62"/>
    <n v="3.85"/>
    <x v="2"/>
  </r>
  <r>
    <s v="ORD-10532"/>
    <x v="78"/>
    <s v="Ava Ferrari"/>
    <x v="2"/>
    <x v="7"/>
    <x v="4"/>
    <x v="0"/>
    <x v="31"/>
    <n v="2"/>
    <n v="139.15"/>
    <x v="4"/>
    <n v="264.38"/>
    <n v="12.48"/>
    <n v="98.83"/>
    <x v="0"/>
  </r>
  <r>
    <s v="ORD-10903"/>
    <x v="78"/>
    <s v="Priya Zhang"/>
    <x v="0"/>
    <x v="2"/>
    <x v="0"/>
    <x v="1"/>
    <x v="20"/>
    <n v="2"/>
    <n v="15.49"/>
    <x v="3"/>
    <n v="27.88"/>
    <n v="6.07"/>
    <n v="7.87"/>
    <x v="2"/>
  </r>
  <r>
    <s v="ORD-11253"/>
    <x v="78"/>
    <s v="Richard Harris"/>
    <x v="0"/>
    <x v="19"/>
    <x v="1"/>
    <x v="0"/>
    <x v="29"/>
    <n v="6"/>
    <n v="25.63"/>
    <x v="2"/>
    <n v="130.71"/>
    <n v="17.72"/>
    <n v="28.41"/>
    <x v="1"/>
  </r>
  <r>
    <s v="ORD-11610"/>
    <x v="78"/>
    <s v="Richard Ali"/>
    <x v="1"/>
    <x v="2"/>
    <x v="0"/>
    <x v="1"/>
    <x v="23"/>
    <n v="1"/>
    <n v="13"/>
    <x v="4"/>
    <n v="12.35"/>
    <n v="5.81"/>
    <n v="0.69"/>
    <x v="3"/>
  </r>
  <r>
    <s v="ORD-10071"/>
    <x v="79"/>
    <s v="Richard MÃ¼ller"/>
    <x v="1"/>
    <x v="0"/>
    <x v="0"/>
    <x v="2"/>
    <x v="15"/>
    <n v="2"/>
    <n v="252.68"/>
    <x v="0"/>
    <n v="505.36"/>
    <n v="8.1199999999999992"/>
    <n v="194.02"/>
    <x v="2"/>
  </r>
  <r>
    <s v="ORD-10207"/>
    <x v="79"/>
    <s v="Diego Johansson"/>
    <x v="1"/>
    <x v="9"/>
    <x v="3"/>
    <x v="0"/>
    <x v="35"/>
    <n v="8"/>
    <n v="20.81"/>
    <x v="0"/>
    <n v="166.48"/>
    <n v="20.3"/>
    <n v="54.62"/>
    <x v="0"/>
  </r>
  <r>
    <s v="ORD-11995"/>
    <x v="79"/>
    <s v="Jamal Ferrari"/>
    <x v="1"/>
    <x v="17"/>
    <x v="3"/>
    <x v="1"/>
    <x v="2"/>
    <n v="2"/>
    <n v="12.65"/>
    <x v="2"/>
    <n v="21.5"/>
    <n v="12.32"/>
    <n v="-2.21"/>
    <x v="2"/>
  </r>
  <r>
    <s v="ORD-10176"/>
    <x v="80"/>
    <s v="Li Pereira"/>
    <x v="0"/>
    <x v="17"/>
    <x v="3"/>
    <x v="3"/>
    <x v="24"/>
    <n v="3"/>
    <n v="83.46"/>
    <x v="0"/>
    <n v="250.38"/>
    <n v="16.07"/>
    <n v="109.12"/>
    <x v="1"/>
  </r>
  <r>
    <s v="ORD-11066"/>
    <x v="81"/>
    <s v="Olga Leroy"/>
    <x v="2"/>
    <x v="14"/>
    <x v="1"/>
    <x v="0"/>
    <x v="7"/>
    <n v="3"/>
    <n v="57.89"/>
    <x v="4"/>
    <n v="164.99"/>
    <n v="9.48"/>
    <n v="59.99"/>
    <x v="2"/>
  </r>
  <r>
    <s v="ORD-11988"/>
    <x v="81"/>
    <s v="Michael Yamamoto"/>
    <x v="0"/>
    <x v="7"/>
    <x v="4"/>
    <x v="0"/>
    <x v="1"/>
    <n v="1"/>
    <n v="133.59"/>
    <x v="0"/>
    <n v="133.59"/>
    <n v="12.48"/>
    <n v="47.64"/>
    <x v="1"/>
  </r>
  <r>
    <s v="ORD-10274"/>
    <x v="82"/>
    <s v="Michael Ferrari"/>
    <x v="2"/>
    <x v="9"/>
    <x v="3"/>
    <x v="1"/>
    <x v="2"/>
    <n v="1"/>
    <n v="9.89"/>
    <x v="4"/>
    <n v="9.4"/>
    <n v="10.9"/>
    <n v="-5.95"/>
    <x v="1"/>
  </r>
  <r>
    <s v="ORD-10840"/>
    <x v="82"/>
    <s v="Priya Park"/>
    <x v="1"/>
    <x v="13"/>
    <x v="0"/>
    <x v="1"/>
    <x v="12"/>
    <n v="6"/>
    <n v="17.86"/>
    <x v="4"/>
    <n v="101.8"/>
    <n v="11.87"/>
    <n v="41.71"/>
    <x v="1"/>
  </r>
  <r>
    <s v="ORD-11333"/>
    <x v="82"/>
    <s v="Olga Hassan"/>
    <x v="0"/>
    <x v="16"/>
    <x v="3"/>
    <x v="2"/>
    <x v="34"/>
    <n v="4"/>
    <n v="58.82"/>
    <x v="3"/>
    <n v="211.75"/>
    <n v="13.12"/>
    <n v="57.46"/>
    <x v="2"/>
  </r>
  <r>
    <s v="ORD-11079"/>
    <x v="83"/>
    <s v="Maria Schmidt"/>
    <x v="1"/>
    <x v="16"/>
    <x v="3"/>
    <x v="0"/>
    <x v="7"/>
    <n v="3"/>
    <n v="63.4"/>
    <x v="1"/>
    <n v="152.16"/>
    <n v="12.26"/>
    <n v="35.29"/>
    <x v="1"/>
  </r>
  <r>
    <s v="ORD-11868"/>
    <x v="83"/>
    <s v="Maria Martinez"/>
    <x v="1"/>
    <x v="2"/>
    <x v="0"/>
    <x v="0"/>
    <x v="1"/>
    <n v="1"/>
    <n v="133.59"/>
    <x v="3"/>
    <n v="120.23"/>
    <n v="6.48"/>
    <n v="40.28"/>
    <x v="2"/>
  </r>
  <r>
    <s v="ORD-11664"/>
    <x v="84"/>
    <s v="Hans Fischer"/>
    <x v="0"/>
    <x v="13"/>
    <x v="0"/>
    <x v="2"/>
    <x v="36"/>
    <n v="2"/>
    <n v="244.78"/>
    <x v="3"/>
    <n v="440.6"/>
    <n v="9.82"/>
    <n v="137.04"/>
    <x v="2"/>
  </r>
  <r>
    <s v="ORD-11912"/>
    <x v="84"/>
    <s v="Lucas Chen"/>
    <x v="1"/>
    <x v="10"/>
    <x v="3"/>
    <x v="1"/>
    <x v="17"/>
    <n v="4"/>
    <n v="13.89"/>
    <x v="0"/>
    <n v="55.56"/>
    <n v="18.260000000000002"/>
    <n v="12.3"/>
    <x v="1"/>
  </r>
  <r>
    <s v="ORD-11921"/>
    <x v="85"/>
    <s v="Priya Jones"/>
    <x v="1"/>
    <x v="6"/>
    <x v="2"/>
    <x v="1"/>
    <x v="19"/>
    <n v="2"/>
    <n v="4.54"/>
    <x v="0"/>
    <n v="9.08"/>
    <n v="13.77"/>
    <n v="-8.7799999999999994"/>
    <x v="2"/>
  </r>
  <r>
    <s v="ORD-10551"/>
    <x v="86"/>
    <s v="Sophie Thomas"/>
    <x v="1"/>
    <x v="4"/>
    <x v="2"/>
    <x v="2"/>
    <x v="4"/>
    <n v="4"/>
    <n v="257.60000000000002"/>
    <x v="6"/>
    <n v="772.8"/>
    <n v="19.79"/>
    <n v="134.77000000000001"/>
    <x v="3"/>
  </r>
  <r>
    <s v="ORD-10091"/>
    <x v="87"/>
    <s v="Jessica Sato"/>
    <x v="1"/>
    <x v="10"/>
    <x v="3"/>
    <x v="3"/>
    <x v="11"/>
    <n v="1"/>
    <n v="55"/>
    <x v="4"/>
    <n v="52.25"/>
    <n v="9.81"/>
    <n v="14.94"/>
    <x v="2"/>
  </r>
  <r>
    <s v="ORD-10434"/>
    <x v="87"/>
    <s v="Giulia Brown"/>
    <x v="0"/>
    <x v="16"/>
    <x v="3"/>
    <x v="1"/>
    <x v="10"/>
    <n v="4"/>
    <n v="8.66"/>
    <x v="4"/>
    <n v="32.909999999999997"/>
    <n v="11.66"/>
    <n v="5.66"/>
    <x v="2"/>
  </r>
  <r>
    <s v="ORD-11552"/>
    <x v="87"/>
    <s v="Li Taylor"/>
    <x v="1"/>
    <x v="2"/>
    <x v="0"/>
    <x v="0"/>
    <x v="22"/>
    <n v="2"/>
    <n v="94.43"/>
    <x v="3"/>
    <n v="169.97"/>
    <n v="6.86"/>
    <n v="59.24"/>
    <x v="2"/>
  </r>
  <r>
    <s v="ORD-10330"/>
    <x v="88"/>
    <s v="Ahmed Miller"/>
    <x v="1"/>
    <x v="19"/>
    <x v="1"/>
    <x v="0"/>
    <x v="0"/>
    <n v="6"/>
    <n v="209.9"/>
    <x v="4"/>
    <n v="1196.43"/>
    <n v="17.2"/>
    <n v="486.56"/>
    <x v="1"/>
  </r>
  <r>
    <s v="ORD-10769"/>
    <x v="89"/>
    <s v="Barbara Thomas"/>
    <x v="0"/>
    <x v="11"/>
    <x v="2"/>
    <x v="0"/>
    <x v="0"/>
    <n v="9"/>
    <n v="67.709999999999994"/>
    <x v="0"/>
    <n v="609.39"/>
    <n v="21.43"/>
    <n v="252.8"/>
    <x v="2"/>
  </r>
  <r>
    <s v="ORD-10427"/>
    <x v="90"/>
    <s v="Clara Oliveira"/>
    <x v="1"/>
    <x v="13"/>
    <x v="0"/>
    <x v="0"/>
    <x v="31"/>
    <n v="2"/>
    <n v="171.32"/>
    <x v="2"/>
    <n v="291.24"/>
    <n v="9.4600000000000009"/>
    <n v="93.33"/>
    <x v="1"/>
  </r>
  <r>
    <s v="ORD-11810"/>
    <x v="90"/>
    <s v="Carlos Wang"/>
    <x v="0"/>
    <x v="0"/>
    <x v="0"/>
    <x v="0"/>
    <x v="0"/>
    <n v="3"/>
    <n v="82.93"/>
    <x v="1"/>
    <n v="199.03"/>
    <n v="12.36"/>
    <n v="49.84"/>
    <x v="2"/>
  </r>
  <r>
    <s v="ORD-11212"/>
    <x v="91"/>
    <s v="Li White"/>
    <x v="0"/>
    <x v="9"/>
    <x v="3"/>
    <x v="0"/>
    <x v="3"/>
    <n v="4"/>
    <n v="57.09"/>
    <x v="2"/>
    <n v="194.11"/>
    <n v="11.38"/>
    <n v="57.13"/>
    <x v="1"/>
  </r>
  <r>
    <s v="ORD-10667"/>
    <x v="92"/>
    <s v="Felix Miller"/>
    <x v="1"/>
    <x v="16"/>
    <x v="3"/>
    <x v="3"/>
    <x v="24"/>
    <n v="1"/>
    <n v="54.74"/>
    <x v="0"/>
    <n v="54.74"/>
    <n v="10.89"/>
    <n v="16.48"/>
    <x v="1"/>
  </r>
  <r>
    <s v="ORD-11292"/>
    <x v="92"/>
    <s v="Sakura Dubois"/>
    <x v="1"/>
    <x v="14"/>
    <x v="1"/>
    <x v="2"/>
    <x v="39"/>
    <n v="10"/>
    <n v="136.46"/>
    <x v="2"/>
    <n v="1159.9100000000001"/>
    <n v="17.75"/>
    <n v="323.39999999999998"/>
    <x v="0"/>
  </r>
  <r>
    <s v="ORD-11731"/>
    <x v="92"/>
    <s v="Barbara Suzuki"/>
    <x v="1"/>
    <x v="13"/>
    <x v="0"/>
    <x v="2"/>
    <x v="14"/>
    <n v="2"/>
    <n v="308.79000000000002"/>
    <x v="0"/>
    <n v="617.58000000000004"/>
    <n v="7.21"/>
    <n v="239.82"/>
    <x v="1"/>
  </r>
  <r>
    <s v="ORD-11224"/>
    <x v="93"/>
    <s v="Zara Patel"/>
    <x v="0"/>
    <x v="15"/>
    <x v="2"/>
    <x v="2"/>
    <x v="5"/>
    <n v="3"/>
    <n v="180.81"/>
    <x v="1"/>
    <n v="433.94"/>
    <n v="18.2"/>
    <n v="90.28"/>
    <x v="2"/>
  </r>
  <r>
    <s v="ORD-10468"/>
    <x v="94"/>
    <s v="Wei Johansson"/>
    <x v="0"/>
    <x v="17"/>
    <x v="3"/>
    <x v="2"/>
    <x v="34"/>
    <n v="1"/>
    <n v="54.96"/>
    <x v="3"/>
    <n v="49.46"/>
    <n v="10.74"/>
    <n v="5.74"/>
    <x v="1"/>
  </r>
  <r>
    <s v="ORD-11700"/>
    <x v="95"/>
    <s v="Sarah Robinson"/>
    <x v="2"/>
    <x v="14"/>
    <x v="1"/>
    <x v="2"/>
    <x v="39"/>
    <n v="1"/>
    <n v="137.26"/>
    <x v="3"/>
    <n v="123.53"/>
    <n v="8.4700000000000006"/>
    <n v="32.700000000000003"/>
    <x v="2"/>
  </r>
  <r>
    <s v="ORD-10377"/>
    <x v="96"/>
    <s v="Omar Williams"/>
    <x v="0"/>
    <x v="9"/>
    <x v="3"/>
    <x v="3"/>
    <x v="16"/>
    <n v="6"/>
    <n v="30.66"/>
    <x v="3"/>
    <n v="165.56"/>
    <n v="22.41"/>
    <n v="51.17"/>
    <x v="0"/>
  </r>
  <r>
    <s v="ORD-11553"/>
    <x v="96"/>
    <s v="Karen Moreau"/>
    <x v="1"/>
    <x v="5"/>
    <x v="3"/>
    <x v="3"/>
    <x v="33"/>
    <n v="1"/>
    <n v="46.16"/>
    <x v="4"/>
    <n v="43.85"/>
    <n v="11.08"/>
    <n v="9.69"/>
    <x v="1"/>
  </r>
  <r>
    <s v="ORD-11888"/>
    <x v="96"/>
    <s v="Christopher Park"/>
    <x v="1"/>
    <x v="14"/>
    <x v="1"/>
    <x v="3"/>
    <x v="24"/>
    <n v="4"/>
    <n v="45.58"/>
    <x v="4"/>
    <n v="173.2"/>
    <n v="12.2"/>
    <n v="69.84"/>
    <x v="3"/>
  </r>
  <r>
    <s v="ORD-10102"/>
    <x v="97"/>
    <s v="Kenji Jones"/>
    <x v="1"/>
    <x v="17"/>
    <x v="3"/>
    <x v="2"/>
    <x v="4"/>
    <n v="2"/>
    <n v="177.6"/>
    <x v="0"/>
    <n v="355.2"/>
    <n v="13.33"/>
    <n v="128.75"/>
    <x v="1"/>
  </r>
  <r>
    <s v="ORD-11008"/>
    <x v="97"/>
    <s v="Marco Taylor"/>
    <x v="1"/>
    <x v="2"/>
    <x v="0"/>
    <x v="2"/>
    <x v="5"/>
    <n v="3"/>
    <n v="192.55"/>
    <x v="0"/>
    <n v="577.65"/>
    <n v="10.26"/>
    <n v="220.8"/>
    <x v="1"/>
  </r>
  <r>
    <s v="ORD-11204"/>
    <x v="98"/>
    <s v="Li Yamamoto"/>
    <x v="1"/>
    <x v="5"/>
    <x v="3"/>
    <x v="0"/>
    <x v="29"/>
    <n v="1"/>
    <n v="17.84"/>
    <x v="4"/>
    <n v="16.95"/>
    <n v="11.04"/>
    <n v="-3.9"/>
    <x v="1"/>
  </r>
  <r>
    <s v="ORD-10826"/>
    <x v="99"/>
    <s v="Ava Fischer"/>
    <x v="0"/>
    <x v="10"/>
    <x v="3"/>
    <x v="1"/>
    <x v="25"/>
    <n v="4"/>
    <n v="8.59"/>
    <x v="4"/>
    <n v="32.64"/>
    <n v="11.51"/>
    <n v="5.67"/>
    <x v="1"/>
  </r>
  <r>
    <s v="ORD-11363"/>
    <x v="100"/>
    <s v="Mia Smith"/>
    <x v="1"/>
    <x v="13"/>
    <x v="0"/>
    <x v="0"/>
    <x v="29"/>
    <n v="1"/>
    <n v="29.87"/>
    <x v="0"/>
    <n v="29.87"/>
    <n v="6.43"/>
    <n v="7.01"/>
    <x v="3"/>
  </r>
  <r>
    <s v="ORD-10202"/>
    <x v="101"/>
    <s v="Ivan Anderson"/>
    <x v="0"/>
    <x v="5"/>
    <x v="3"/>
    <x v="1"/>
    <x v="12"/>
    <n v="3"/>
    <n v="12.78"/>
    <x v="4"/>
    <n v="36.42"/>
    <n v="14.72"/>
    <n v="4.45"/>
    <x v="1"/>
  </r>
  <r>
    <s v="ORD-10462"/>
    <x v="102"/>
    <s v="Raj Thomas"/>
    <x v="1"/>
    <x v="2"/>
    <x v="0"/>
    <x v="0"/>
    <x v="7"/>
    <n v="3"/>
    <n v="71.84"/>
    <x v="0"/>
    <n v="215.52"/>
    <n v="8.56"/>
    <n v="88.42"/>
    <x v="0"/>
  </r>
  <r>
    <s v="ORD-11586"/>
    <x v="103"/>
    <s v="Jamal Schmidt"/>
    <x v="2"/>
    <x v="16"/>
    <x v="3"/>
    <x v="1"/>
    <x v="17"/>
    <n v="2"/>
    <n v="6.24"/>
    <x v="1"/>
    <n v="9.98"/>
    <n v="13.23"/>
    <n v="-8.8699999999999992"/>
    <x v="1"/>
  </r>
  <r>
    <s v="ORD-10703"/>
    <x v="104"/>
    <s v="Priya Chen"/>
    <x v="2"/>
    <x v="2"/>
    <x v="0"/>
    <x v="1"/>
    <x v="19"/>
    <n v="2"/>
    <n v="12.15"/>
    <x v="3"/>
    <n v="21.87"/>
    <n v="9.48"/>
    <n v="1.46"/>
    <x v="0"/>
  </r>
  <r>
    <s v="ORD-10828"/>
    <x v="104"/>
    <s v="Kenji Romano"/>
    <x v="1"/>
    <x v="5"/>
    <x v="3"/>
    <x v="3"/>
    <x v="24"/>
    <n v="1"/>
    <n v="88.39"/>
    <x v="2"/>
    <n v="75.13"/>
    <n v="11.2"/>
    <n v="19.73"/>
    <x v="2"/>
  </r>
  <r>
    <s v="ORD-10652"/>
    <x v="105"/>
    <s v="Pierre Fischer"/>
    <x v="1"/>
    <x v="9"/>
    <x v="3"/>
    <x v="0"/>
    <x v="0"/>
    <n v="5"/>
    <n v="181.39"/>
    <x v="0"/>
    <n v="906.95"/>
    <n v="13.61"/>
    <n v="394.52"/>
    <x v="3"/>
  </r>
  <r>
    <s v="ORD-11385"/>
    <x v="105"/>
    <s v="Ali Miller"/>
    <x v="1"/>
    <x v="2"/>
    <x v="0"/>
    <x v="1"/>
    <x v="23"/>
    <n v="1"/>
    <n v="16.13"/>
    <x v="2"/>
    <n v="13.71"/>
    <n v="6.12"/>
    <n v="0.33"/>
    <x v="0"/>
  </r>
  <r>
    <s v="ORD-11895"/>
    <x v="105"/>
    <s v="John Robinson"/>
    <x v="1"/>
    <x v="13"/>
    <x v="0"/>
    <x v="0"/>
    <x v="7"/>
    <n v="2"/>
    <n v="44.17"/>
    <x v="4"/>
    <n v="83.92"/>
    <n v="6.3"/>
    <n v="29.03"/>
    <x v="1"/>
  </r>
  <r>
    <s v="ORD-10143"/>
    <x v="106"/>
    <s v="Wei Sato"/>
    <x v="0"/>
    <x v="10"/>
    <x v="3"/>
    <x v="1"/>
    <x v="12"/>
    <n v="2"/>
    <n v="11.52"/>
    <x v="2"/>
    <n v="19.579999999999998"/>
    <n v="12.1"/>
    <n v="-2.89"/>
    <x v="1"/>
  </r>
  <r>
    <s v="ORD-10853"/>
    <x v="107"/>
    <s v="Amir Garcia"/>
    <x v="0"/>
    <x v="19"/>
    <x v="1"/>
    <x v="1"/>
    <x v="12"/>
    <n v="3"/>
    <n v="11.58"/>
    <x v="5"/>
    <n v="24.32"/>
    <n v="13.53"/>
    <n v="-4.84"/>
    <x v="1"/>
  </r>
  <r>
    <s v="ORD-10452"/>
    <x v="108"/>
    <s v="Layla Santos"/>
    <x v="0"/>
    <x v="14"/>
    <x v="1"/>
    <x v="3"/>
    <x v="27"/>
    <n v="3"/>
    <n v="25.71"/>
    <x v="2"/>
    <n v="65.56"/>
    <n v="8.8800000000000008"/>
    <n v="18.12"/>
    <x v="1"/>
  </r>
  <r>
    <s v="ORD-11484"/>
    <x v="108"/>
    <s v="Christopher Taylor"/>
    <x v="1"/>
    <x v="13"/>
    <x v="0"/>
    <x v="0"/>
    <x v="28"/>
    <n v="3"/>
    <n v="47.53"/>
    <x v="2"/>
    <n v="121.2"/>
    <n v="7.18"/>
    <n v="35.6"/>
    <x v="3"/>
  </r>
  <r>
    <s v="ORD-10623"/>
    <x v="109"/>
    <s v="Chen Thompson"/>
    <x v="1"/>
    <x v="12"/>
    <x v="4"/>
    <x v="3"/>
    <x v="11"/>
    <n v="3"/>
    <n v="94.61"/>
    <x v="1"/>
    <n v="227.06"/>
    <n v="16.78"/>
    <n v="68.37"/>
    <x v="2"/>
  </r>
  <r>
    <s v="ORD-11458"/>
    <x v="109"/>
    <s v="Barbara Sharma"/>
    <x v="0"/>
    <x v="19"/>
    <x v="1"/>
    <x v="2"/>
    <x v="39"/>
    <n v="2"/>
    <n v="248.9"/>
    <x v="1"/>
    <n v="398.24"/>
    <n v="8.23"/>
    <n v="91.33"/>
    <x v="1"/>
  </r>
  <r>
    <s v="ORD-10609"/>
    <x v="110"/>
    <s v="Diego Jackson"/>
    <x v="0"/>
    <x v="16"/>
    <x v="3"/>
    <x v="0"/>
    <x v="18"/>
    <n v="4"/>
    <n v="62.57"/>
    <x v="3"/>
    <n v="225.25"/>
    <n v="14.99"/>
    <n v="72.61"/>
    <x v="2"/>
  </r>
  <r>
    <s v="ORD-11288"/>
    <x v="110"/>
    <s v="Ayumi Ahmed"/>
    <x v="1"/>
    <x v="16"/>
    <x v="3"/>
    <x v="2"/>
    <x v="8"/>
    <n v="15"/>
    <n v="100.94"/>
    <x v="4"/>
    <n v="1438.39"/>
    <n v="29.26"/>
    <n v="500.67"/>
    <x v="1"/>
  </r>
  <r>
    <s v="ORD-10607"/>
    <x v="111"/>
    <s v="Fatima Laurent"/>
    <x v="2"/>
    <x v="12"/>
    <x v="4"/>
    <x v="0"/>
    <x v="28"/>
    <n v="1"/>
    <n v="55.77"/>
    <x v="4"/>
    <n v="52.98"/>
    <n v="11.25"/>
    <n v="11.06"/>
    <x v="2"/>
  </r>
  <r>
    <s v="ORD-10105"/>
    <x v="112"/>
    <s v="Olivia Kumar"/>
    <x v="0"/>
    <x v="17"/>
    <x v="3"/>
    <x v="2"/>
    <x v="21"/>
    <n v="2"/>
    <n v="77.489999999999995"/>
    <x v="2"/>
    <n v="131.72999999999999"/>
    <n v="12.63"/>
    <n v="26.11"/>
    <x v="0"/>
  </r>
  <r>
    <s v="ORD-11298"/>
    <x v="112"/>
    <s v="Raj Rossi"/>
    <x v="1"/>
    <x v="2"/>
    <x v="0"/>
    <x v="2"/>
    <x v="5"/>
    <n v="4"/>
    <n v="65.92"/>
    <x v="4"/>
    <n v="250.5"/>
    <n v="13.46"/>
    <n v="78.83"/>
    <x v="1"/>
  </r>
  <r>
    <s v="ORD-11682"/>
    <x v="112"/>
    <s v="Patricia Dubois"/>
    <x v="0"/>
    <x v="2"/>
    <x v="0"/>
    <x v="2"/>
    <x v="36"/>
    <n v="1"/>
    <n v="121.55"/>
    <x v="6"/>
    <n v="91.16"/>
    <n v="6.6"/>
    <n v="11.63"/>
    <x v="2"/>
  </r>
  <r>
    <s v="ORD-10411"/>
    <x v="113"/>
    <s v="Robert Jackson"/>
    <x v="0"/>
    <x v="19"/>
    <x v="1"/>
    <x v="3"/>
    <x v="24"/>
    <n v="2"/>
    <n v="79.650000000000006"/>
    <x v="3"/>
    <n v="143.37"/>
    <n v="10.14"/>
    <n v="53.58"/>
    <x v="1"/>
  </r>
  <r>
    <s v="ORD-11776"/>
    <x v="113"/>
    <s v="Jennifer Costa"/>
    <x v="1"/>
    <x v="2"/>
    <x v="0"/>
    <x v="2"/>
    <x v="4"/>
    <n v="3"/>
    <n v="180.1"/>
    <x v="3"/>
    <n v="486.27"/>
    <n v="8.31"/>
    <n v="153.78"/>
    <x v="2"/>
  </r>
  <r>
    <s v="ORD-11788"/>
    <x v="113"/>
    <s v="Ivan Li"/>
    <x v="2"/>
    <x v="18"/>
    <x v="4"/>
    <x v="2"/>
    <x v="5"/>
    <n v="3"/>
    <n v="145.84"/>
    <x v="2"/>
    <n v="371.89"/>
    <n v="14.54"/>
    <n v="94.84"/>
    <x v="1"/>
  </r>
  <r>
    <s v="ORD-11227"/>
    <x v="114"/>
    <s v="Nadia Brown"/>
    <x v="2"/>
    <x v="16"/>
    <x v="3"/>
    <x v="1"/>
    <x v="10"/>
    <n v="9"/>
    <n v="3.16"/>
    <x v="3"/>
    <n v="25.6"/>
    <n v="18.23"/>
    <n v="-5.43"/>
    <x v="0"/>
  </r>
  <r>
    <s v="ORD-10941"/>
    <x v="115"/>
    <s v="Emma Johansson"/>
    <x v="0"/>
    <x v="13"/>
    <x v="0"/>
    <x v="1"/>
    <x v="23"/>
    <n v="3"/>
    <n v="8.1999999999999993"/>
    <x v="0"/>
    <n v="24.6"/>
    <n v="7.45"/>
    <n v="6.08"/>
    <x v="2"/>
  </r>
  <r>
    <s v="ORD-11045"/>
    <x v="115"/>
    <s v="Diego Schmidt"/>
    <x v="0"/>
    <x v="15"/>
    <x v="2"/>
    <x v="2"/>
    <x v="39"/>
    <n v="2"/>
    <n v="214.52"/>
    <x v="0"/>
    <n v="429.04"/>
    <n v="15.39"/>
    <n v="156.22999999999999"/>
    <x v="1"/>
  </r>
  <r>
    <s v="ORD-11149"/>
    <x v="115"/>
    <s v="Clara Jackson"/>
    <x v="1"/>
    <x v="10"/>
    <x v="3"/>
    <x v="3"/>
    <x v="26"/>
    <n v="8"/>
    <n v="43.71"/>
    <x v="2"/>
    <n v="297.23"/>
    <n v="21.92"/>
    <n v="100.47"/>
    <x v="2"/>
  </r>
  <r>
    <s v="ORD-11329"/>
    <x v="115"/>
    <s v="Jamal Clark"/>
    <x v="1"/>
    <x v="16"/>
    <x v="3"/>
    <x v="2"/>
    <x v="4"/>
    <n v="2"/>
    <n v="119.77"/>
    <x v="6"/>
    <n v="179.66"/>
    <n v="10.37"/>
    <n v="25.57"/>
    <x v="0"/>
  </r>
  <r>
    <s v="ORD-11394"/>
    <x v="115"/>
    <s v="Pierre Fischer"/>
    <x v="0"/>
    <x v="6"/>
    <x v="2"/>
    <x v="2"/>
    <x v="36"/>
    <n v="1"/>
    <n v="217.82"/>
    <x v="6"/>
    <n v="163.37"/>
    <n v="12.46"/>
    <n v="20.22"/>
    <x v="1"/>
  </r>
  <r>
    <s v="ORD-11435"/>
    <x v="115"/>
    <s v="Lucas Khan"/>
    <x v="1"/>
    <x v="0"/>
    <x v="0"/>
    <x v="2"/>
    <x v="36"/>
    <n v="2"/>
    <n v="295.24"/>
    <x v="0"/>
    <n v="590.48"/>
    <n v="9.07"/>
    <n v="227.12"/>
    <x v="2"/>
  </r>
  <r>
    <s v="ORD-10336"/>
    <x v="116"/>
    <s v="Chen Romano"/>
    <x v="2"/>
    <x v="19"/>
    <x v="1"/>
    <x v="2"/>
    <x v="39"/>
    <n v="1"/>
    <n v="195.08"/>
    <x v="4"/>
    <n v="185.33"/>
    <n v="9.41"/>
    <n v="58.87"/>
    <x v="2"/>
  </r>
  <r>
    <s v="ORD-11513"/>
    <x v="117"/>
    <s v="Sophie Yamamoto"/>
    <x v="1"/>
    <x v="0"/>
    <x v="0"/>
    <x v="3"/>
    <x v="9"/>
    <n v="5"/>
    <n v="26.84"/>
    <x v="0"/>
    <n v="134.19999999999999"/>
    <n v="17.2"/>
    <n v="49.9"/>
    <x v="2"/>
  </r>
  <r>
    <s v="ORD-11762"/>
    <x v="118"/>
    <s v="Hans Johnson"/>
    <x v="2"/>
    <x v="17"/>
    <x v="3"/>
    <x v="0"/>
    <x v="29"/>
    <n v="5"/>
    <n v="15.48"/>
    <x v="3"/>
    <n v="69.66"/>
    <n v="19.739999999999998"/>
    <n v="7.35"/>
    <x v="2"/>
  </r>
  <r>
    <s v="ORD-10562"/>
    <x v="119"/>
    <s v="Patricia MÃ¼ller"/>
    <x v="1"/>
    <x v="2"/>
    <x v="0"/>
    <x v="0"/>
    <x v="3"/>
    <n v="5"/>
    <n v="54.1"/>
    <x v="4"/>
    <n v="256.97000000000003"/>
    <n v="11.43"/>
    <n v="96.77"/>
    <x v="1"/>
  </r>
  <r>
    <s v="ORD-10710"/>
    <x v="119"/>
    <s v="Ahmed Taylor"/>
    <x v="2"/>
    <x v="5"/>
    <x v="3"/>
    <x v="0"/>
    <x v="18"/>
    <n v="8"/>
    <n v="37.26"/>
    <x v="1"/>
    <n v="238.46"/>
    <n v="14.6"/>
    <n v="59.92"/>
    <x v="2"/>
  </r>
  <r>
    <s v="ORD-11740"/>
    <x v="120"/>
    <s v="Zara Rodriguez"/>
    <x v="1"/>
    <x v="2"/>
    <x v="0"/>
    <x v="1"/>
    <x v="12"/>
    <n v="4"/>
    <n v="10.54"/>
    <x v="2"/>
    <n v="35.840000000000003"/>
    <n v="10.87"/>
    <n v="6"/>
    <x v="3"/>
  </r>
  <r>
    <s v="ORD-10422"/>
    <x v="121"/>
    <s v="Clara Santos"/>
    <x v="0"/>
    <x v="2"/>
    <x v="0"/>
    <x v="1"/>
    <x v="12"/>
    <n v="3"/>
    <n v="15.84"/>
    <x v="4"/>
    <n v="45.14"/>
    <n v="7.96"/>
    <n v="15.8"/>
    <x v="1"/>
  </r>
  <r>
    <s v="ORD-11834"/>
    <x v="122"/>
    <s v="Hanna Davis"/>
    <x v="1"/>
    <x v="8"/>
    <x v="1"/>
    <x v="3"/>
    <x v="11"/>
    <n v="2"/>
    <n v="33.159999999999997"/>
    <x v="0"/>
    <n v="66.319999999999993"/>
    <n v="11.38"/>
    <n v="21.78"/>
    <x v="1"/>
  </r>
  <r>
    <s v="ORD-10942"/>
    <x v="123"/>
    <s v="Barbara Rossi"/>
    <x v="2"/>
    <x v="5"/>
    <x v="3"/>
    <x v="1"/>
    <x v="2"/>
    <n v="3"/>
    <n v="14"/>
    <x v="2"/>
    <n v="35.700000000000003"/>
    <n v="16.47"/>
    <n v="0.33"/>
    <x v="1"/>
  </r>
  <r>
    <s v="ORD-10129"/>
    <x v="124"/>
    <s v="Oscar Santos"/>
    <x v="0"/>
    <x v="13"/>
    <x v="0"/>
    <x v="2"/>
    <x v="21"/>
    <n v="7"/>
    <n v="54.12"/>
    <x v="2"/>
    <n v="322.01"/>
    <n v="17.46"/>
    <n v="77.25"/>
    <x v="1"/>
  </r>
  <r>
    <s v="ORD-10722"/>
    <x v="124"/>
    <s v="Patricia Chen"/>
    <x v="2"/>
    <x v="8"/>
    <x v="1"/>
    <x v="2"/>
    <x v="8"/>
    <n v="1"/>
    <n v="118.34"/>
    <x v="4"/>
    <n v="112.42"/>
    <n v="7.66"/>
    <n v="33.76"/>
    <x v="1"/>
  </r>
  <r>
    <s v="ORD-10845"/>
    <x v="124"/>
    <s v="Ahmed Dubois"/>
    <x v="1"/>
    <x v="1"/>
    <x v="1"/>
    <x v="1"/>
    <x v="17"/>
    <n v="1"/>
    <n v="20.28"/>
    <x v="0"/>
    <n v="20.28"/>
    <n v="8.91"/>
    <n v="2.2400000000000002"/>
    <x v="2"/>
  </r>
  <r>
    <s v="ORD-10937"/>
    <x v="124"/>
    <s v="Kenji Robinson"/>
    <x v="1"/>
    <x v="2"/>
    <x v="0"/>
    <x v="2"/>
    <x v="36"/>
    <n v="7"/>
    <n v="263.11"/>
    <x v="3"/>
    <n v="1657.59"/>
    <n v="16.54"/>
    <n v="535.99"/>
    <x v="2"/>
  </r>
  <r>
    <s v="ORD-11401"/>
    <x v="124"/>
    <s v="Robert Sharma"/>
    <x v="1"/>
    <x v="10"/>
    <x v="3"/>
    <x v="2"/>
    <x v="36"/>
    <n v="1"/>
    <n v="271.69"/>
    <x v="1"/>
    <n v="217.35"/>
    <n v="10.66"/>
    <n v="43.68"/>
    <x v="0"/>
  </r>
  <r>
    <s v="ORD-10069"/>
    <x v="125"/>
    <s v="Chen Smith"/>
    <x v="0"/>
    <x v="14"/>
    <x v="1"/>
    <x v="2"/>
    <x v="32"/>
    <n v="4"/>
    <n v="43.62"/>
    <x v="2"/>
    <n v="148.31"/>
    <n v="15.81"/>
    <n v="27.81"/>
    <x v="0"/>
  </r>
  <r>
    <s v="ORD-10025"/>
    <x v="126"/>
    <s v="Kenji Leroy"/>
    <x v="0"/>
    <x v="9"/>
    <x v="3"/>
    <x v="3"/>
    <x v="33"/>
    <n v="6"/>
    <n v="36.82"/>
    <x v="3"/>
    <n v="198.83"/>
    <n v="13.78"/>
    <n v="74.59"/>
    <x v="1"/>
  </r>
  <r>
    <s v="ORD-11268"/>
    <x v="126"/>
    <s v="Richard Li"/>
    <x v="1"/>
    <x v="1"/>
    <x v="1"/>
    <x v="1"/>
    <x v="19"/>
    <n v="1"/>
    <n v="10.08"/>
    <x v="2"/>
    <n v="8.57"/>
    <n v="8.15"/>
    <n v="-4.12"/>
    <x v="1"/>
  </r>
  <r>
    <s v="ORD-11962"/>
    <x v="126"/>
    <s v="Karen Anderson"/>
    <x v="1"/>
    <x v="3"/>
    <x v="1"/>
    <x v="1"/>
    <x v="38"/>
    <n v="3"/>
    <n v="6.18"/>
    <x v="2"/>
    <n v="15.76"/>
    <n v="9.18"/>
    <n v="-1.76"/>
    <x v="1"/>
  </r>
  <r>
    <s v="ORD-10979"/>
    <x v="127"/>
    <s v="Zara Kim"/>
    <x v="0"/>
    <x v="2"/>
    <x v="0"/>
    <x v="0"/>
    <x v="7"/>
    <n v="8"/>
    <n v="64.14"/>
    <x v="2"/>
    <n v="436.15"/>
    <n v="22.64"/>
    <n v="131.29"/>
    <x v="1"/>
  </r>
  <r>
    <s v="ORD-10816"/>
    <x v="128"/>
    <s v="Jennifer Nilsson"/>
    <x v="1"/>
    <x v="9"/>
    <x v="3"/>
    <x v="0"/>
    <x v="35"/>
    <n v="1"/>
    <n v="29.03"/>
    <x v="4"/>
    <n v="27.58"/>
    <n v="10.81"/>
    <n v="0.8"/>
    <x v="1"/>
  </r>
  <r>
    <s v="ORD-11468"/>
    <x v="128"/>
    <s v="Christopher Harris"/>
    <x v="1"/>
    <x v="10"/>
    <x v="3"/>
    <x v="1"/>
    <x v="25"/>
    <n v="1"/>
    <n v="6.69"/>
    <x v="0"/>
    <n v="6.69"/>
    <n v="10.56"/>
    <n v="-6.88"/>
    <x v="0"/>
  </r>
  <r>
    <s v="ORD-11539"/>
    <x v="128"/>
    <s v="Marco Martin"/>
    <x v="1"/>
    <x v="10"/>
    <x v="3"/>
    <x v="0"/>
    <x v="7"/>
    <n v="4"/>
    <n v="59.29"/>
    <x v="1"/>
    <n v="189.73"/>
    <n v="13.59"/>
    <n v="45.7"/>
    <x v="0"/>
  </r>
  <r>
    <s v="ORD-11609"/>
    <x v="128"/>
    <s v="Emma Zhang"/>
    <x v="0"/>
    <x v="6"/>
    <x v="2"/>
    <x v="3"/>
    <x v="9"/>
    <n v="1"/>
    <n v="31.48"/>
    <x v="4"/>
    <n v="29.91"/>
    <n v="12.24"/>
    <n v="1.93"/>
    <x v="2"/>
  </r>
  <r>
    <s v="ORD-11707"/>
    <x v="128"/>
    <s v="David Smith"/>
    <x v="0"/>
    <x v="19"/>
    <x v="1"/>
    <x v="1"/>
    <x v="23"/>
    <n v="3"/>
    <n v="7.93"/>
    <x v="0"/>
    <n v="23.79"/>
    <n v="14.01"/>
    <n v="-0.93"/>
    <x v="2"/>
  </r>
  <r>
    <s v="ORD-10177"/>
    <x v="129"/>
    <s v="Wei Romano"/>
    <x v="1"/>
    <x v="4"/>
    <x v="2"/>
    <x v="0"/>
    <x v="29"/>
    <n v="6"/>
    <n v="24.62"/>
    <x v="4"/>
    <n v="140.33000000000001"/>
    <n v="24.76"/>
    <n v="34.32"/>
    <x v="1"/>
  </r>
  <r>
    <s v="ORD-10817"/>
    <x v="129"/>
    <s v="Zara Rodriguez"/>
    <x v="0"/>
    <x v="8"/>
    <x v="1"/>
    <x v="0"/>
    <x v="31"/>
    <n v="4"/>
    <n v="72.94"/>
    <x v="1"/>
    <n v="233.41"/>
    <n v="16.18"/>
    <n v="56.76"/>
    <x v="0"/>
  </r>
  <r>
    <s v="ORD-11080"/>
    <x v="129"/>
    <s v="Zara Ferrari"/>
    <x v="1"/>
    <x v="0"/>
    <x v="0"/>
    <x v="0"/>
    <x v="35"/>
    <n v="2"/>
    <n v="32.450000000000003"/>
    <x v="3"/>
    <n v="58.41"/>
    <n v="8.6199999999999992"/>
    <n v="14.09"/>
    <x v="1"/>
  </r>
  <r>
    <s v="ORD-10376"/>
    <x v="130"/>
    <s v="Omar Garcia"/>
    <x v="0"/>
    <x v="5"/>
    <x v="3"/>
    <x v="1"/>
    <x v="38"/>
    <n v="6"/>
    <n v="5.73"/>
    <x v="2"/>
    <n v="29.22"/>
    <n v="18.91"/>
    <n v="-5.16"/>
    <x v="0"/>
  </r>
  <r>
    <s v="ORD-10726"/>
    <x v="130"/>
    <s v="Hans Yamamoto"/>
    <x v="1"/>
    <x v="16"/>
    <x v="3"/>
    <x v="3"/>
    <x v="9"/>
    <n v="4"/>
    <n v="38.869999999999997"/>
    <x v="4"/>
    <n v="147.71"/>
    <n v="14.04"/>
    <n v="55.93"/>
    <x v="1"/>
  </r>
  <r>
    <s v="ORD-11103"/>
    <x v="130"/>
    <s v="Nadia Costa"/>
    <x v="1"/>
    <x v="0"/>
    <x v="0"/>
    <x v="1"/>
    <x v="2"/>
    <n v="2"/>
    <n v="6.85"/>
    <x v="0"/>
    <n v="13.7"/>
    <n v="7.41"/>
    <n v="0.12"/>
    <x v="1"/>
  </r>
  <r>
    <s v="ORD-10727"/>
    <x v="131"/>
    <s v="Mia Sharma"/>
    <x v="1"/>
    <x v="0"/>
    <x v="0"/>
    <x v="2"/>
    <x v="34"/>
    <n v="2"/>
    <n v="16.260000000000002"/>
    <x v="4"/>
    <n v="30.89"/>
    <n v="6.26"/>
    <n v="5.12"/>
    <x v="2"/>
  </r>
  <r>
    <s v="ORD-10772"/>
    <x v="131"/>
    <s v="William Hassan"/>
    <x v="0"/>
    <x v="6"/>
    <x v="2"/>
    <x v="0"/>
    <x v="35"/>
    <n v="1"/>
    <n v="23.01"/>
    <x v="4"/>
    <n v="21.86"/>
    <n v="13.14"/>
    <n v="-3.94"/>
    <x v="1"/>
  </r>
  <r>
    <s v="ORD-11060"/>
    <x v="131"/>
    <s v="Ali Johansson"/>
    <x v="2"/>
    <x v="6"/>
    <x v="2"/>
    <x v="1"/>
    <x v="6"/>
    <n v="4"/>
    <n v="22.5"/>
    <x v="2"/>
    <n v="76.5"/>
    <n v="20.57"/>
    <n v="15.43"/>
    <x v="0"/>
  </r>
  <r>
    <s v="ORD-11322"/>
    <x v="132"/>
    <s v="Amir Chen"/>
    <x v="1"/>
    <x v="13"/>
    <x v="0"/>
    <x v="2"/>
    <x v="15"/>
    <n v="3"/>
    <n v="229.47"/>
    <x v="2"/>
    <n v="585.15"/>
    <n v="9.83"/>
    <n v="162.27000000000001"/>
    <x v="1"/>
  </r>
  <r>
    <s v="ORD-10146"/>
    <x v="133"/>
    <s v="Ethan Park"/>
    <x v="2"/>
    <x v="13"/>
    <x v="0"/>
    <x v="2"/>
    <x v="14"/>
    <n v="5"/>
    <n v="336.47"/>
    <x v="0"/>
    <n v="1682.35"/>
    <n v="15.78"/>
    <n v="657.16"/>
    <x v="1"/>
  </r>
  <r>
    <s v="ORD-11048"/>
    <x v="133"/>
    <s v="Christopher Robinson"/>
    <x v="1"/>
    <x v="10"/>
    <x v="3"/>
    <x v="2"/>
    <x v="5"/>
    <n v="2"/>
    <n v="122.54"/>
    <x v="0"/>
    <n v="245.08"/>
    <n v="11.78"/>
    <n v="86.25"/>
    <x v="1"/>
  </r>
  <r>
    <s v="ORD-11155"/>
    <x v="133"/>
    <s v="Noah Khan"/>
    <x v="2"/>
    <x v="0"/>
    <x v="0"/>
    <x v="0"/>
    <x v="22"/>
    <n v="5"/>
    <n v="88.03"/>
    <x v="2"/>
    <n v="374.13"/>
    <n v="16.63"/>
    <n v="115.42"/>
    <x v="1"/>
  </r>
  <r>
    <s v="ORD-11376"/>
    <x v="133"/>
    <s v="Linda Smith"/>
    <x v="1"/>
    <x v="8"/>
    <x v="1"/>
    <x v="2"/>
    <x v="34"/>
    <n v="4"/>
    <n v="24.66"/>
    <x v="0"/>
    <n v="98.64"/>
    <n v="16.03"/>
    <n v="23.43"/>
    <x v="0"/>
  </r>
  <r>
    <s v="ORD-11535"/>
    <x v="133"/>
    <s v="Isabella Jackson"/>
    <x v="1"/>
    <x v="3"/>
    <x v="1"/>
    <x v="0"/>
    <x v="3"/>
    <n v="3"/>
    <n v="60.58"/>
    <x v="3"/>
    <n v="163.57"/>
    <n v="9.75"/>
    <n v="53.86"/>
    <x v="1"/>
  </r>
  <r>
    <s v="ORD-10114"/>
    <x v="134"/>
    <s v="Sarah Kim"/>
    <x v="0"/>
    <x v="8"/>
    <x v="1"/>
    <x v="0"/>
    <x v="1"/>
    <n v="3"/>
    <n v="158.55000000000001"/>
    <x v="2"/>
    <n v="404.3"/>
    <n v="11.67"/>
    <n v="131.02000000000001"/>
    <x v="1"/>
  </r>
  <r>
    <s v="ORD-11031"/>
    <x v="134"/>
    <s v="James Suzuki"/>
    <x v="0"/>
    <x v="0"/>
    <x v="0"/>
    <x v="2"/>
    <x v="21"/>
    <n v="6"/>
    <n v="43.48"/>
    <x v="2"/>
    <n v="221.75"/>
    <n v="13.94"/>
    <n v="51.28"/>
    <x v="3"/>
  </r>
  <r>
    <s v="ORD-11133"/>
    <x v="134"/>
    <s v="Wei Harris"/>
    <x v="1"/>
    <x v="9"/>
    <x v="3"/>
    <x v="0"/>
    <x v="7"/>
    <n v="15"/>
    <n v="33.119999999999997"/>
    <x v="0"/>
    <n v="496.8"/>
    <n v="38.18"/>
    <n v="185.38"/>
    <x v="1"/>
  </r>
  <r>
    <s v="ORD-10349"/>
    <x v="135"/>
    <s v="Thomas Li"/>
    <x v="1"/>
    <x v="2"/>
    <x v="0"/>
    <x v="0"/>
    <x v="18"/>
    <n v="1"/>
    <n v="30.15"/>
    <x v="2"/>
    <n v="25.63"/>
    <n v="6.6"/>
    <n v="2.4500000000000002"/>
    <x v="1"/>
  </r>
  <r>
    <s v="ORD-11733"/>
    <x v="135"/>
    <s v="Michael Khan"/>
    <x v="0"/>
    <x v="2"/>
    <x v="0"/>
    <x v="1"/>
    <x v="12"/>
    <n v="3"/>
    <n v="18.829999999999998"/>
    <x v="3"/>
    <n v="50.84"/>
    <n v="10.96"/>
    <n v="14.46"/>
    <x v="1"/>
  </r>
  <r>
    <s v="ORD-10358"/>
    <x v="136"/>
    <s v="Isabella Ahmed"/>
    <x v="1"/>
    <x v="17"/>
    <x v="3"/>
    <x v="3"/>
    <x v="33"/>
    <n v="5"/>
    <n v="17.239999999999998"/>
    <x v="0"/>
    <n v="86.2"/>
    <n v="16.2"/>
    <n v="26.9"/>
    <x v="1"/>
  </r>
  <r>
    <s v="ORD-11932"/>
    <x v="136"/>
    <s v="Felix Hassan"/>
    <x v="2"/>
    <x v="3"/>
    <x v="1"/>
    <x v="1"/>
    <x v="10"/>
    <n v="1"/>
    <n v="6.68"/>
    <x v="2"/>
    <n v="5.68"/>
    <n v="8.2200000000000006"/>
    <n v="-5.55"/>
    <x v="1"/>
  </r>
  <r>
    <s v="ORD-10042"/>
    <x v="137"/>
    <s v="Amir Thompson"/>
    <x v="0"/>
    <x v="15"/>
    <x v="2"/>
    <x v="2"/>
    <x v="21"/>
    <n v="9"/>
    <n v="33.65"/>
    <x v="4"/>
    <n v="287.70999999999998"/>
    <n v="16.739999999999998"/>
    <n v="89.26"/>
    <x v="0"/>
  </r>
  <r>
    <s v="ORD-10569"/>
    <x v="137"/>
    <s v="Chen Miller"/>
    <x v="1"/>
    <x v="3"/>
    <x v="1"/>
    <x v="0"/>
    <x v="18"/>
    <n v="3"/>
    <n v="69.430000000000007"/>
    <x v="4"/>
    <n v="197.88"/>
    <n v="10.72"/>
    <n v="72.599999999999994"/>
    <x v="2"/>
  </r>
  <r>
    <s v="ORD-11665"/>
    <x v="138"/>
    <s v="Priya Jackson"/>
    <x v="1"/>
    <x v="3"/>
    <x v="1"/>
    <x v="2"/>
    <x v="14"/>
    <n v="10"/>
    <n v="398.27"/>
    <x v="4"/>
    <n v="3783.56"/>
    <n v="20.309999999999999"/>
    <n v="1373.63"/>
    <x v="0"/>
  </r>
  <r>
    <s v="ORD-10876"/>
    <x v="139"/>
    <s v="Karen Wang"/>
    <x v="0"/>
    <x v="6"/>
    <x v="2"/>
    <x v="2"/>
    <x v="4"/>
    <n v="4"/>
    <n v="114.01"/>
    <x v="0"/>
    <n v="456.04"/>
    <n v="13.78"/>
    <n v="168.64"/>
    <x v="2"/>
  </r>
  <r>
    <s v="ORD-11258"/>
    <x v="139"/>
    <s v="Carlos Dubois"/>
    <x v="1"/>
    <x v="18"/>
    <x v="4"/>
    <x v="3"/>
    <x v="37"/>
    <n v="1"/>
    <n v="79.09"/>
    <x v="1"/>
    <n v="63.27"/>
    <n v="10.51"/>
    <n v="13.22"/>
    <x v="1"/>
  </r>
  <r>
    <s v="ORD-11375"/>
    <x v="139"/>
    <s v="Raj Chen"/>
    <x v="2"/>
    <x v="9"/>
    <x v="3"/>
    <x v="1"/>
    <x v="20"/>
    <n v="2"/>
    <n v="12.13"/>
    <x v="2"/>
    <n v="20.62"/>
    <n v="12.26"/>
    <n v="-2.56"/>
    <x v="0"/>
  </r>
  <r>
    <s v="ORD-10546"/>
    <x v="140"/>
    <s v="Xiao Taylor"/>
    <x v="0"/>
    <x v="11"/>
    <x v="2"/>
    <x v="2"/>
    <x v="32"/>
    <n v="4"/>
    <n v="42.27"/>
    <x v="2"/>
    <n v="143.72"/>
    <n v="16.600000000000001"/>
    <n v="25.67"/>
    <x v="3"/>
  </r>
  <r>
    <s v="ORD-10860"/>
    <x v="141"/>
    <s v="Fatima Jackson"/>
    <x v="2"/>
    <x v="14"/>
    <x v="1"/>
    <x v="0"/>
    <x v="29"/>
    <n v="3"/>
    <n v="48.52"/>
    <x v="2"/>
    <n v="123.73"/>
    <n v="13.06"/>
    <n v="30.61"/>
    <x v="1"/>
  </r>
  <r>
    <s v="ORD-11307"/>
    <x v="142"/>
    <s v="William Clark"/>
    <x v="0"/>
    <x v="2"/>
    <x v="0"/>
    <x v="3"/>
    <x v="30"/>
    <n v="4"/>
    <n v="27.6"/>
    <x v="3"/>
    <n v="99.36"/>
    <n v="13.33"/>
    <n v="30.83"/>
    <x v="2"/>
  </r>
  <r>
    <s v="ORD-10182"/>
    <x v="143"/>
    <s v="Emma Pereira"/>
    <x v="1"/>
    <x v="13"/>
    <x v="0"/>
    <x v="1"/>
    <x v="12"/>
    <n v="11"/>
    <n v="23.39"/>
    <x v="3"/>
    <n v="231.56"/>
    <n v="14.23"/>
    <n v="101.55"/>
    <x v="1"/>
  </r>
  <r>
    <s v="ORD-10674"/>
    <x v="143"/>
    <s v="Ahmed Garcia"/>
    <x v="0"/>
    <x v="11"/>
    <x v="2"/>
    <x v="3"/>
    <x v="30"/>
    <n v="10"/>
    <n v="14.57"/>
    <x v="4"/>
    <n v="138.41"/>
    <n v="35.54"/>
    <n v="30.02"/>
    <x v="2"/>
  </r>
  <r>
    <s v="ORD-11336"/>
    <x v="143"/>
    <s v="Ayumi Robinson"/>
    <x v="0"/>
    <x v="10"/>
    <x v="3"/>
    <x v="2"/>
    <x v="36"/>
    <n v="1"/>
    <n v="250.47"/>
    <x v="4"/>
    <n v="237.95"/>
    <n v="10.78"/>
    <n v="76.89"/>
    <x v="3"/>
  </r>
  <r>
    <s v="ORD-10712"/>
    <x v="144"/>
    <s v="Mary Johansson"/>
    <x v="1"/>
    <x v="17"/>
    <x v="3"/>
    <x v="0"/>
    <x v="35"/>
    <n v="7"/>
    <n v="57.98"/>
    <x v="2"/>
    <n v="344.98"/>
    <n v="16.8"/>
    <n v="104.96"/>
    <x v="2"/>
  </r>
  <r>
    <s v="ORD-10788"/>
    <x v="145"/>
    <s v="Michael Martin"/>
    <x v="1"/>
    <x v="6"/>
    <x v="2"/>
    <x v="1"/>
    <x v="20"/>
    <n v="1"/>
    <n v="19.940000000000001"/>
    <x v="3"/>
    <n v="17.95"/>
    <n v="11.66"/>
    <n v="-2.68"/>
    <x v="1"/>
  </r>
  <r>
    <s v="ORD-10212"/>
    <x v="146"/>
    <s v="Karen Sato"/>
    <x v="0"/>
    <x v="14"/>
    <x v="1"/>
    <x v="3"/>
    <x v="33"/>
    <n v="3"/>
    <n v="45.1"/>
    <x v="3"/>
    <n v="121.77"/>
    <n v="14.28"/>
    <n v="39.840000000000003"/>
    <x v="1"/>
  </r>
  <r>
    <s v="ORD-11068"/>
    <x v="146"/>
    <s v="Isabella Kumar"/>
    <x v="0"/>
    <x v="3"/>
    <x v="1"/>
    <x v="1"/>
    <x v="20"/>
    <n v="2"/>
    <n v="10.66"/>
    <x v="3"/>
    <n v="19.190000000000001"/>
    <n v="11.01"/>
    <n v="-1.41"/>
    <x v="0"/>
  </r>
  <r>
    <s v="ORD-11653"/>
    <x v="146"/>
    <s v="Carlos Rodriguez"/>
    <x v="1"/>
    <x v="11"/>
    <x v="2"/>
    <x v="3"/>
    <x v="26"/>
    <n v="1"/>
    <n v="26.53"/>
    <x v="0"/>
    <n v="26.53"/>
    <n v="13.43"/>
    <n v="-0.16"/>
    <x v="0"/>
  </r>
  <r>
    <s v="ORD-11771"/>
    <x v="146"/>
    <s v="James Tanaka"/>
    <x v="1"/>
    <x v="6"/>
    <x v="2"/>
    <x v="2"/>
    <x v="21"/>
    <n v="5"/>
    <n v="94.63"/>
    <x v="0"/>
    <n v="473.15"/>
    <n v="18.91"/>
    <n v="170.35"/>
    <x v="1"/>
  </r>
  <r>
    <s v="ORD-10480"/>
    <x v="147"/>
    <s v="Priya Thomas"/>
    <x v="1"/>
    <x v="3"/>
    <x v="1"/>
    <x v="3"/>
    <x v="37"/>
    <n v="2"/>
    <n v="30.06"/>
    <x v="3"/>
    <n v="54.11"/>
    <n v="11.77"/>
    <n v="12.28"/>
    <x v="0"/>
  </r>
  <r>
    <s v="ORD-10700"/>
    <x v="147"/>
    <s v="Mia Harris"/>
    <x v="0"/>
    <x v="13"/>
    <x v="0"/>
    <x v="3"/>
    <x v="33"/>
    <n v="3"/>
    <n v="40.18"/>
    <x v="0"/>
    <n v="120.54"/>
    <n v="12.31"/>
    <n v="47.96"/>
    <x v="0"/>
  </r>
  <r>
    <s v="ORD-10661"/>
    <x v="148"/>
    <s v="Olga Nilsson"/>
    <x v="1"/>
    <x v="13"/>
    <x v="0"/>
    <x v="0"/>
    <x v="3"/>
    <n v="9"/>
    <n v="74.430000000000007"/>
    <x v="3"/>
    <n v="602.88"/>
    <n v="11.59"/>
    <n v="222.86"/>
    <x v="1"/>
  </r>
  <r>
    <s v="ORD-10747"/>
    <x v="148"/>
    <s v="Olga Patel"/>
    <x v="1"/>
    <x v="9"/>
    <x v="3"/>
    <x v="3"/>
    <x v="27"/>
    <n v="1"/>
    <n v="24.48"/>
    <x v="1"/>
    <n v="19.579999999999998"/>
    <n v="9.7100000000000009"/>
    <n v="-2.37"/>
    <x v="3"/>
  </r>
  <r>
    <s v="ORD-10432"/>
    <x v="149"/>
    <s v="Priya Schmidt"/>
    <x v="0"/>
    <x v="1"/>
    <x v="1"/>
    <x v="0"/>
    <x v="7"/>
    <n v="3"/>
    <n v="62.62"/>
    <x v="3"/>
    <n v="169.07"/>
    <n v="12.18"/>
    <n v="53.57"/>
    <x v="0"/>
  </r>
  <r>
    <s v="ORD-10483"/>
    <x v="149"/>
    <s v="Noah Jones"/>
    <x v="2"/>
    <x v="10"/>
    <x v="3"/>
    <x v="0"/>
    <x v="22"/>
    <n v="3"/>
    <n v="97.31"/>
    <x v="3"/>
    <n v="262.74"/>
    <n v="15.03"/>
    <n v="87.15"/>
    <x v="1"/>
  </r>
  <r>
    <s v="ORD-10792"/>
    <x v="149"/>
    <s v="Oscar Schmidt"/>
    <x v="1"/>
    <x v="10"/>
    <x v="3"/>
    <x v="1"/>
    <x v="23"/>
    <n v="5"/>
    <n v="18.79"/>
    <x v="3"/>
    <n v="84.55"/>
    <n v="15.23"/>
    <n v="27.04"/>
    <x v="2"/>
  </r>
  <r>
    <s v="ORD-11387"/>
    <x v="149"/>
    <s v="Marco Harris"/>
    <x v="1"/>
    <x v="11"/>
    <x v="2"/>
    <x v="2"/>
    <x v="14"/>
    <n v="1"/>
    <n v="192.58"/>
    <x v="1"/>
    <n v="154.06"/>
    <n v="12.06"/>
    <n v="26.45"/>
    <x v="2"/>
  </r>
  <r>
    <s v="ORD-11564"/>
    <x v="149"/>
    <s v="Giulia Johnson"/>
    <x v="0"/>
    <x v="2"/>
    <x v="0"/>
    <x v="3"/>
    <x v="27"/>
    <n v="3"/>
    <n v="48.59"/>
    <x v="2"/>
    <n v="123.9"/>
    <n v="9.9"/>
    <n v="41.12"/>
    <x v="1"/>
  </r>
  <r>
    <s v="ORD-10381"/>
    <x v="150"/>
    <s v="Sophie Harris"/>
    <x v="1"/>
    <x v="17"/>
    <x v="3"/>
    <x v="0"/>
    <x v="18"/>
    <n v="2"/>
    <n v="46.18"/>
    <x v="4"/>
    <n v="87.74"/>
    <n v="12.38"/>
    <n v="24.56"/>
    <x v="1"/>
  </r>
  <r>
    <s v="ORD-11603"/>
    <x v="150"/>
    <s v="Lucas Chen"/>
    <x v="0"/>
    <x v="6"/>
    <x v="2"/>
    <x v="2"/>
    <x v="4"/>
    <n v="7"/>
    <n v="309.68"/>
    <x v="1"/>
    <n v="1734.21"/>
    <n v="19.940000000000001"/>
    <n v="413.61"/>
    <x v="1"/>
  </r>
  <r>
    <s v="ORD-11019"/>
    <x v="151"/>
    <s v="Robert Smith"/>
    <x v="2"/>
    <x v="15"/>
    <x v="2"/>
    <x v="2"/>
    <x v="34"/>
    <n v="1"/>
    <n v="24.14"/>
    <x v="0"/>
    <n v="24.14"/>
    <n v="13.18"/>
    <n v="-3.52"/>
    <x v="1"/>
  </r>
  <r>
    <s v="ORD-10977"/>
    <x v="152"/>
    <s v="Ingrid Khan"/>
    <x v="2"/>
    <x v="2"/>
    <x v="0"/>
    <x v="1"/>
    <x v="17"/>
    <n v="4"/>
    <n v="15.95"/>
    <x v="2"/>
    <n v="54.23"/>
    <n v="8.6199999999999992"/>
    <n v="16.899999999999999"/>
    <x v="0"/>
  </r>
  <r>
    <s v="ORD-10008"/>
    <x v="153"/>
    <s v="Lucas White"/>
    <x v="2"/>
    <x v="13"/>
    <x v="0"/>
    <x v="1"/>
    <x v="25"/>
    <n v="1"/>
    <n v="6.99"/>
    <x v="3"/>
    <n v="6.29"/>
    <n v="6.69"/>
    <n v="-3.55"/>
    <x v="1"/>
  </r>
  <r>
    <s v="ORD-11100"/>
    <x v="153"/>
    <s v="Nadia Jackson"/>
    <x v="0"/>
    <x v="0"/>
    <x v="0"/>
    <x v="1"/>
    <x v="23"/>
    <n v="2"/>
    <n v="19.72"/>
    <x v="3"/>
    <n v="35.5"/>
    <n v="6.38"/>
    <n v="11.37"/>
    <x v="3"/>
  </r>
  <r>
    <s v="ORD-11464"/>
    <x v="153"/>
    <s v="Chen Jones"/>
    <x v="2"/>
    <x v="9"/>
    <x v="3"/>
    <x v="2"/>
    <x v="5"/>
    <n v="4"/>
    <n v="194.07"/>
    <x v="0"/>
    <n v="776.28"/>
    <n v="11.42"/>
    <n v="299.08999999999997"/>
    <x v="1"/>
  </r>
  <r>
    <s v="ORD-11562"/>
    <x v="153"/>
    <s v="Susan Miller"/>
    <x v="0"/>
    <x v="2"/>
    <x v="0"/>
    <x v="0"/>
    <x v="18"/>
    <n v="2"/>
    <n v="52.02"/>
    <x v="2"/>
    <n v="88.43"/>
    <n v="7.14"/>
    <n v="24.07"/>
    <x v="2"/>
  </r>
  <r>
    <s v="ORD-10083"/>
    <x v="154"/>
    <s v="Priya Thomas"/>
    <x v="2"/>
    <x v="12"/>
    <x v="4"/>
    <x v="1"/>
    <x v="23"/>
    <n v="1"/>
    <n v="19.62"/>
    <x v="4"/>
    <n v="18.64"/>
    <n v="12.48"/>
    <n v="-2.67"/>
    <x v="3"/>
  </r>
  <r>
    <s v="ORD-10112"/>
    <x v="154"/>
    <s v="Ahmed Thompson"/>
    <x v="1"/>
    <x v="3"/>
    <x v="1"/>
    <x v="3"/>
    <x v="26"/>
    <n v="7"/>
    <n v="43.03"/>
    <x v="1"/>
    <n v="240.97"/>
    <n v="16.309999999999999"/>
    <n v="74.05"/>
    <x v="1"/>
  </r>
  <r>
    <s v="ORD-11077"/>
    <x v="155"/>
    <s v="Diego Kim"/>
    <x v="2"/>
    <x v="1"/>
    <x v="1"/>
    <x v="0"/>
    <x v="7"/>
    <n v="5"/>
    <n v="50.01"/>
    <x v="0"/>
    <n v="250.05"/>
    <n v="19.34"/>
    <n v="93.18"/>
    <x v="1"/>
  </r>
  <r>
    <s v="ORD-10003"/>
    <x v="156"/>
    <s v="Priya Martinez"/>
    <x v="1"/>
    <x v="9"/>
    <x v="3"/>
    <x v="2"/>
    <x v="34"/>
    <n v="3"/>
    <n v="53.14"/>
    <x v="2"/>
    <n v="135.51"/>
    <n v="14.88"/>
    <n v="24.98"/>
    <x v="2"/>
  </r>
  <r>
    <s v="ORD-10024"/>
    <x v="156"/>
    <s v="Giulia Dubois"/>
    <x v="1"/>
    <x v="18"/>
    <x v="4"/>
    <x v="1"/>
    <x v="10"/>
    <n v="2"/>
    <n v="3.31"/>
    <x v="0"/>
    <n v="6.62"/>
    <n v="14.92"/>
    <n v="-11.28"/>
    <x v="1"/>
  </r>
  <r>
    <s v="ORD-10404"/>
    <x v="157"/>
    <s v="Carlos Schmidt"/>
    <x v="0"/>
    <x v="8"/>
    <x v="1"/>
    <x v="1"/>
    <x v="17"/>
    <n v="2"/>
    <n v="11.9"/>
    <x v="0"/>
    <n v="23.8"/>
    <n v="9.7100000000000009"/>
    <n v="3.38"/>
    <x v="2"/>
  </r>
  <r>
    <s v="ORD-11154"/>
    <x v="157"/>
    <s v="Oscar Johnson"/>
    <x v="1"/>
    <x v="0"/>
    <x v="0"/>
    <x v="3"/>
    <x v="30"/>
    <n v="6"/>
    <n v="21.26"/>
    <x v="4"/>
    <n v="121.18"/>
    <n v="9.14"/>
    <n v="48.26"/>
    <x v="1"/>
  </r>
  <r>
    <s v="ORD-11859"/>
    <x v="157"/>
    <s v="Jennifer Garcia"/>
    <x v="1"/>
    <x v="13"/>
    <x v="0"/>
    <x v="3"/>
    <x v="37"/>
    <n v="1"/>
    <n v="59.16"/>
    <x v="3"/>
    <n v="53.24"/>
    <n v="6.6"/>
    <n v="17.059999999999999"/>
    <x v="1"/>
  </r>
  <r>
    <s v="ORD-10107"/>
    <x v="158"/>
    <s v="Noah Santos"/>
    <x v="1"/>
    <x v="16"/>
    <x v="3"/>
    <x v="1"/>
    <x v="2"/>
    <n v="1"/>
    <n v="10.59"/>
    <x v="4"/>
    <n v="10.06"/>
    <n v="11.4"/>
    <n v="-6.11"/>
    <x v="1"/>
  </r>
  <r>
    <s v="ORD-11182"/>
    <x v="158"/>
    <s v="Elizabeth Harris"/>
    <x v="0"/>
    <x v="2"/>
    <x v="0"/>
    <x v="0"/>
    <x v="3"/>
    <n v="6"/>
    <n v="62.93"/>
    <x v="0"/>
    <n v="377.58"/>
    <n v="13.89"/>
    <n v="156.02000000000001"/>
    <x v="3"/>
  </r>
  <r>
    <s v="ORD-11380"/>
    <x v="159"/>
    <s v="Ali Jones"/>
    <x v="1"/>
    <x v="2"/>
    <x v="0"/>
    <x v="3"/>
    <x v="16"/>
    <n v="4"/>
    <n v="54.62"/>
    <x v="0"/>
    <n v="218.48"/>
    <n v="11.36"/>
    <n v="97.88"/>
    <x v="1"/>
  </r>
  <r>
    <s v="ORD-10015"/>
    <x v="160"/>
    <s v="Jamal Harris"/>
    <x v="0"/>
    <x v="6"/>
    <x v="2"/>
    <x v="0"/>
    <x v="18"/>
    <n v="2"/>
    <n v="42.71"/>
    <x v="1"/>
    <n v="68.34"/>
    <n v="12.22"/>
    <n v="9.14"/>
    <x v="2"/>
  </r>
  <r>
    <s v="ORD-10545"/>
    <x v="160"/>
    <s v="Elizabeth Williams"/>
    <x v="0"/>
    <x v="3"/>
    <x v="1"/>
    <x v="2"/>
    <x v="8"/>
    <n v="2"/>
    <n v="113.15"/>
    <x v="3"/>
    <n v="203.67"/>
    <n v="11.07"/>
    <n v="56.82"/>
    <x v="1"/>
  </r>
  <r>
    <s v="ORD-10961"/>
    <x v="160"/>
    <s v="Lucas Suzuki"/>
    <x v="0"/>
    <x v="18"/>
    <x v="4"/>
    <x v="0"/>
    <x v="35"/>
    <n v="1"/>
    <n v="61.5"/>
    <x v="2"/>
    <n v="52.27"/>
    <n v="10.75"/>
    <n v="7.7"/>
    <x v="1"/>
  </r>
  <r>
    <s v="ORD-10511"/>
    <x v="161"/>
    <s v="Clara Nilsson"/>
    <x v="1"/>
    <x v="9"/>
    <x v="3"/>
    <x v="1"/>
    <x v="10"/>
    <n v="5"/>
    <n v="3.47"/>
    <x v="4"/>
    <n v="16.48"/>
    <n v="13.6"/>
    <n v="-4.93"/>
    <x v="3"/>
  </r>
  <r>
    <s v="ORD-11806"/>
    <x v="161"/>
    <s v="Ali Harris"/>
    <x v="1"/>
    <x v="10"/>
    <x v="3"/>
    <x v="2"/>
    <x v="15"/>
    <n v="5"/>
    <n v="394.43"/>
    <x v="4"/>
    <n v="1873.54"/>
    <n v="12.1"/>
    <n v="678.15"/>
    <x v="3"/>
  </r>
  <r>
    <s v="ORD-10283"/>
    <x v="162"/>
    <s v="Hans Singh"/>
    <x v="2"/>
    <x v="1"/>
    <x v="1"/>
    <x v="2"/>
    <x v="39"/>
    <n v="4"/>
    <n v="161.93"/>
    <x v="3"/>
    <n v="582.95000000000005"/>
    <n v="10.19"/>
    <n v="184.13"/>
    <x v="3"/>
  </r>
  <r>
    <s v="ORD-10625"/>
    <x v="162"/>
    <s v="Olga Schmidt"/>
    <x v="1"/>
    <x v="16"/>
    <x v="3"/>
    <x v="2"/>
    <x v="15"/>
    <n v="7"/>
    <n v="233.89"/>
    <x v="0"/>
    <n v="1637.23"/>
    <n v="21.29"/>
    <n v="633.6"/>
    <x v="1"/>
  </r>
  <r>
    <s v="ORD-11098"/>
    <x v="163"/>
    <s v="David Thompson"/>
    <x v="1"/>
    <x v="14"/>
    <x v="1"/>
    <x v="3"/>
    <x v="37"/>
    <n v="7"/>
    <n v="30.7"/>
    <x v="3"/>
    <n v="193.41"/>
    <n v="10.64"/>
    <n v="75.319999999999993"/>
    <x v="1"/>
  </r>
  <r>
    <s v="ORD-11395"/>
    <x v="163"/>
    <s v="Priya Ali"/>
    <x v="2"/>
    <x v="8"/>
    <x v="1"/>
    <x v="3"/>
    <x v="33"/>
    <n v="5"/>
    <n v="21.72"/>
    <x v="0"/>
    <n v="108.6"/>
    <n v="10.039999999999999"/>
    <n v="44.26"/>
    <x v="2"/>
  </r>
  <r>
    <s v="ORD-10090"/>
    <x v="164"/>
    <s v="Jamal Jones"/>
    <x v="1"/>
    <x v="13"/>
    <x v="0"/>
    <x v="1"/>
    <x v="17"/>
    <n v="3"/>
    <n v="18.989999999999998"/>
    <x v="3"/>
    <n v="51.27"/>
    <n v="9.8699999999999992"/>
    <n v="15.76"/>
    <x v="1"/>
  </r>
  <r>
    <s v="ORD-10904"/>
    <x v="165"/>
    <s v="Thomas Thompson"/>
    <x v="1"/>
    <x v="17"/>
    <x v="3"/>
    <x v="0"/>
    <x v="0"/>
    <n v="1"/>
    <n v="190.35"/>
    <x v="3"/>
    <n v="171.31"/>
    <n v="10.96"/>
    <n v="55.66"/>
    <x v="2"/>
  </r>
  <r>
    <s v="ORD-10266"/>
    <x v="166"/>
    <s v="Fatima Costa"/>
    <x v="0"/>
    <x v="17"/>
    <x v="3"/>
    <x v="2"/>
    <x v="32"/>
    <n v="3"/>
    <n v="64.89"/>
    <x v="6"/>
    <n v="146"/>
    <n v="16.18"/>
    <n v="13.02"/>
    <x v="0"/>
  </r>
  <r>
    <s v="ORD-10424"/>
    <x v="166"/>
    <s v="Diego Davis"/>
    <x v="0"/>
    <x v="1"/>
    <x v="1"/>
    <x v="3"/>
    <x v="33"/>
    <n v="2"/>
    <n v="27.32"/>
    <x v="3"/>
    <n v="49.18"/>
    <n v="10.74"/>
    <n v="11.12"/>
    <x v="2"/>
  </r>
  <r>
    <s v="ORD-11061"/>
    <x v="166"/>
    <s v="Omar MÃ¼ller"/>
    <x v="1"/>
    <x v="5"/>
    <x v="3"/>
    <x v="0"/>
    <x v="1"/>
    <n v="10"/>
    <n v="133.94999999999999"/>
    <x v="3"/>
    <n v="1205.55"/>
    <n v="21.46"/>
    <n v="447.36"/>
    <x v="1"/>
  </r>
  <r>
    <s v="ORD-11808"/>
    <x v="166"/>
    <s v="Mary Weber"/>
    <x v="0"/>
    <x v="13"/>
    <x v="0"/>
    <x v="0"/>
    <x v="18"/>
    <n v="2"/>
    <n v="56.54"/>
    <x v="4"/>
    <n v="107.43"/>
    <n v="7.32"/>
    <n v="37.92"/>
    <x v="2"/>
  </r>
  <r>
    <s v="ORD-10326"/>
    <x v="167"/>
    <s v="Amina Johansson"/>
    <x v="0"/>
    <x v="1"/>
    <x v="1"/>
    <x v="2"/>
    <x v="32"/>
    <n v="1"/>
    <n v="51.24"/>
    <x v="1"/>
    <n v="40.99"/>
    <n v="8.07"/>
    <n v="2.1800000000000002"/>
    <x v="0"/>
  </r>
  <r>
    <s v="ORD-11349"/>
    <x v="167"/>
    <s v="Liam Clark"/>
    <x v="1"/>
    <x v="12"/>
    <x v="4"/>
    <x v="0"/>
    <x v="1"/>
    <n v="13"/>
    <n v="145.33000000000001"/>
    <x v="4"/>
    <n v="1794.83"/>
    <n v="36.04"/>
    <n v="719.68"/>
    <x v="0"/>
  </r>
  <r>
    <s v="ORD-10681"/>
    <x v="168"/>
    <s v="Ethan Chen"/>
    <x v="0"/>
    <x v="13"/>
    <x v="0"/>
    <x v="3"/>
    <x v="33"/>
    <n v="5"/>
    <n v="27.72"/>
    <x v="4"/>
    <n v="131.66999999999999"/>
    <n v="15.56"/>
    <n v="46.81"/>
    <x v="2"/>
  </r>
  <r>
    <s v="ORD-10996"/>
    <x v="168"/>
    <s v="Clara Williams"/>
    <x v="1"/>
    <x v="12"/>
    <x v="4"/>
    <x v="3"/>
    <x v="27"/>
    <n v="2"/>
    <n v="53.18"/>
    <x v="4"/>
    <n v="101.04"/>
    <n v="13.3"/>
    <n v="34.56"/>
    <x v="2"/>
  </r>
  <r>
    <s v="ORD-11167"/>
    <x v="168"/>
    <s v="Christopher Davis"/>
    <x v="1"/>
    <x v="19"/>
    <x v="1"/>
    <x v="0"/>
    <x v="31"/>
    <n v="5"/>
    <n v="167.91"/>
    <x v="0"/>
    <n v="839.55"/>
    <n v="15.17"/>
    <n v="362.63"/>
    <x v="0"/>
  </r>
  <r>
    <s v="ORD-11391"/>
    <x v="168"/>
    <s v="James Taylor"/>
    <x v="1"/>
    <x v="5"/>
    <x v="3"/>
    <x v="1"/>
    <x v="23"/>
    <n v="1"/>
    <n v="16.43"/>
    <x v="4"/>
    <n v="15.61"/>
    <n v="11.32"/>
    <n v="-3.1"/>
    <x v="3"/>
  </r>
  <r>
    <s v="ORD-10949"/>
    <x v="169"/>
    <s v="Chen Johnson"/>
    <x v="1"/>
    <x v="4"/>
    <x v="2"/>
    <x v="2"/>
    <x v="32"/>
    <n v="2"/>
    <n v="71.010000000000005"/>
    <x v="2"/>
    <n v="120.72"/>
    <n v="13.2"/>
    <n v="22.31"/>
    <x v="0"/>
  </r>
  <r>
    <s v="ORD-11494"/>
    <x v="170"/>
    <s v="Fatima Smith"/>
    <x v="0"/>
    <x v="7"/>
    <x v="4"/>
    <x v="3"/>
    <x v="24"/>
    <n v="1"/>
    <n v="41.08"/>
    <x v="0"/>
    <n v="41.08"/>
    <n v="11.71"/>
    <n v="8.83"/>
    <x v="0"/>
  </r>
  <r>
    <s v="ORD-10240"/>
    <x v="171"/>
    <s v="Lucas Jones"/>
    <x v="1"/>
    <x v="12"/>
    <x v="4"/>
    <x v="2"/>
    <x v="34"/>
    <n v="1"/>
    <n v="21.14"/>
    <x v="1"/>
    <n v="16.91"/>
    <n v="12.08"/>
    <n v="-7.85"/>
    <x v="0"/>
  </r>
  <r>
    <s v="ORD-10945"/>
    <x v="171"/>
    <s v="Karen Thomas"/>
    <x v="0"/>
    <x v="0"/>
    <x v="0"/>
    <x v="0"/>
    <x v="29"/>
    <n v="1"/>
    <n v="52.78"/>
    <x v="0"/>
    <n v="52.78"/>
    <n v="6.2"/>
    <n v="17.55"/>
    <x v="1"/>
  </r>
  <r>
    <s v="ORD-11589"/>
    <x v="172"/>
    <s v="Priya Nilsson"/>
    <x v="1"/>
    <x v="11"/>
    <x v="2"/>
    <x v="1"/>
    <x v="23"/>
    <n v="1"/>
    <n v="13.41"/>
    <x v="3"/>
    <n v="12.07"/>
    <n v="12.56"/>
    <n v="-6.52"/>
    <x v="2"/>
  </r>
  <r>
    <s v="ORD-11824"/>
    <x v="172"/>
    <s v="Elizabeth Sato"/>
    <x v="1"/>
    <x v="11"/>
    <x v="2"/>
    <x v="2"/>
    <x v="21"/>
    <n v="4"/>
    <n v="75.900000000000006"/>
    <x v="0"/>
    <n v="303.60000000000002"/>
    <n v="14.96"/>
    <n v="106.48"/>
    <x v="2"/>
  </r>
  <r>
    <s v="ORD-10045"/>
    <x v="173"/>
    <s v="Sakura Jones"/>
    <x v="0"/>
    <x v="6"/>
    <x v="2"/>
    <x v="1"/>
    <x v="10"/>
    <n v="3"/>
    <n v="8.9499999999999993"/>
    <x v="0"/>
    <n v="26.85"/>
    <n v="18.399999999999999"/>
    <n v="-3.63"/>
    <x v="3"/>
  </r>
  <r>
    <s v="ORD-11229"/>
    <x v="173"/>
    <s v="Xiao Smith"/>
    <x v="1"/>
    <x v="18"/>
    <x v="4"/>
    <x v="0"/>
    <x v="28"/>
    <n v="1"/>
    <n v="20.02"/>
    <x v="2"/>
    <n v="17.02"/>
    <n v="10.98"/>
    <n v="-4.97"/>
    <x v="2"/>
  </r>
  <r>
    <s v="ORD-11934"/>
    <x v="173"/>
    <s v="Robert Park"/>
    <x v="1"/>
    <x v="0"/>
    <x v="0"/>
    <x v="1"/>
    <x v="20"/>
    <n v="1"/>
    <n v="10.76"/>
    <x v="3"/>
    <n v="9.68"/>
    <n v="6.28"/>
    <n v="-1.44"/>
    <x v="2"/>
  </r>
  <r>
    <s v="ORD-10001"/>
    <x v="174"/>
    <s v="Joseph Johnson"/>
    <x v="0"/>
    <x v="0"/>
    <x v="0"/>
    <x v="1"/>
    <x v="12"/>
    <n v="2"/>
    <n v="9.48"/>
    <x v="0"/>
    <n v="18.96"/>
    <n v="6.87"/>
    <n v="3.56"/>
    <x v="2"/>
  </r>
  <r>
    <s v="ORD-11199"/>
    <x v="174"/>
    <s v="Liam Wang"/>
    <x v="1"/>
    <x v="5"/>
    <x v="3"/>
    <x v="0"/>
    <x v="29"/>
    <n v="3"/>
    <n v="33.19"/>
    <x v="2"/>
    <n v="84.63"/>
    <n v="11.24"/>
    <n v="18.63"/>
    <x v="1"/>
  </r>
  <r>
    <s v="ORD-11680"/>
    <x v="175"/>
    <s v="Olivia Sharma"/>
    <x v="0"/>
    <x v="11"/>
    <x v="2"/>
    <x v="2"/>
    <x v="32"/>
    <n v="3"/>
    <n v="73.540000000000006"/>
    <x v="2"/>
    <n v="187.53"/>
    <n v="13.35"/>
    <n v="41.81"/>
    <x v="3"/>
  </r>
  <r>
    <s v="ORD-10755"/>
    <x v="176"/>
    <s v="William Martinez"/>
    <x v="0"/>
    <x v="16"/>
    <x v="3"/>
    <x v="0"/>
    <x v="29"/>
    <n v="1"/>
    <n v="19.91"/>
    <x v="4"/>
    <n v="18.91"/>
    <n v="9.86"/>
    <n v="-1.9"/>
    <x v="1"/>
  </r>
  <r>
    <s v="ORD-11247"/>
    <x v="176"/>
    <s v="Felix Costa"/>
    <x v="2"/>
    <x v="6"/>
    <x v="2"/>
    <x v="2"/>
    <x v="5"/>
    <n v="4"/>
    <n v="96.5"/>
    <x v="1"/>
    <n v="308.8"/>
    <n v="14.49"/>
    <n v="62.71"/>
    <x v="3"/>
  </r>
  <r>
    <s v="ORD-10225"/>
    <x v="177"/>
    <s v="Noah Smith"/>
    <x v="0"/>
    <x v="19"/>
    <x v="1"/>
    <x v="0"/>
    <x v="1"/>
    <n v="10"/>
    <n v="104.58"/>
    <x v="5"/>
    <n v="732.06"/>
    <n v="14.85"/>
    <n v="142.02000000000001"/>
    <x v="1"/>
  </r>
  <r>
    <s v="ORD-10281"/>
    <x v="177"/>
    <s v="Thomas Chen"/>
    <x v="0"/>
    <x v="18"/>
    <x v="4"/>
    <x v="2"/>
    <x v="8"/>
    <n v="3"/>
    <n v="83.44"/>
    <x v="3"/>
    <n v="225.29"/>
    <n v="15.17"/>
    <n v="59.93"/>
    <x v="3"/>
  </r>
  <r>
    <s v="ORD-10980"/>
    <x v="177"/>
    <s v="Olivia Moreau"/>
    <x v="1"/>
    <x v="13"/>
    <x v="0"/>
    <x v="3"/>
    <x v="24"/>
    <n v="10"/>
    <n v="64.87"/>
    <x v="4"/>
    <n v="616.26"/>
    <n v="14.5"/>
    <n v="277.41000000000003"/>
    <x v="3"/>
  </r>
  <r>
    <s v="ORD-11339"/>
    <x v="177"/>
    <s v="Noah Oliveira"/>
    <x v="1"/>
    <x v="8"/>
    <x v="1"/>
    <x v="2"/>
    <x v="36"/>
    <n v="3"/>
    <n v="182.51"/>
    <x v="4"/>
    <n v="520.15"/>
    <n v="8.9"/>
    <n v="182.73"/>
    <x v="2"/>
  </r>
  <r>
    <s v="ORD-10459"/>
    <x v="178"/>
    <s v="Noah Russo"/>
    <x v="2"/>
    <x v="9"/>
    <x v="3"/>
    <x v="1"/>
    <x v="12"/>
    <n v="5"/>
    <n v="10.99"/>
    <x v="4"/>
    <n v="52.2"/>
    <n v="12.66"/>
    <n v="14.81"/>
    <x v="0"/>
  </r>
  <r>
    <s v="ORD-10885"/>
    <x v="179"/>
    <s v="Amir Singh"/>
    <x v="0"/>
    <x v="2"/>
    <x v="0"/>
    <x v="1"/>
    <x v="6"/>
    <n v="3"/>
    <n v="10.7"/>
    <x v="4"/>
    <n v="30.49"/>
    <n v="11.92"/>
    <n v="4.13"/>
    <x v="1"/>
  </r>
  <r>
    <s v="ORD-10680"/>
    <x v="180"/>
    <s v="Mary Miller"/>
    <x v="1"/>
    <x v="12"/>
    <x v="4"/>
    <x v="1"/>
    <x v="25"/>
    <n v="5"/>
    <n v="7.28"/>
    <x v="4"/>
    <n v="34.58"/>
    <n v="20.71"/>
    <n v="-2.5099999999999998"/>
    <x v="2"/>
  </r>
  <r>
    <s v="ORD-11530"/>
    <x v="180"/>
    <s v="Olivia Rossi"/>
    <x v="1"/>
    <x v="6"/>
    <x v="2"/>
    <x v="2"/>
    <x v="8"/>
    <n v="2"/>
    <n v="44.23"/>
    <x v="3"/>
    <n v="79.61"/>
    <n v="13.7"/>
    <n v="12.83"/>
    <x v="2"/>
  </r>
  <r>
    <s v="ORD-11642"/>
    <x v="180"/>
    <s v="Wei Li"/>
    <x v="0"/>
    <x v="2"/>
    <x v="0"/>
    <x v="0"/>
    <x v="0"/>
    <n v="2"/>
    <n v="151.07"/>
    <x v="6"/>
    <n v="226.6"/>
    <n v="7.84"/>
    <n v="52.58"/>
    <x v="1"/>
  </r>
  <r>
    <s v="ORD-10228"/>
    <x v="181"/>
    <s v="Sakura Rodriguez"/>
    <x v="0"/>
    <x v="5"/>
    <x v="3"/>
    <x v="0"/>
    <x v="35"/>
    <n v="1"/>
    <n v="35.700000000000003"/>
    <x v="3"/>
    <n v="32.130000000000003"/>
    <n v="11.04"/>
    <n v="1.46"/>
    <x v="2"/>
  </r>
  <r>
    <s v="ORD-10254"/>
    <x v="181"/>
    <s v="Christopher Rossi"/>
    <x v="0"/>
    <x v="9"/>
    <x v="3"/>
    <x v="1"/>
    <x v="25"/>
    <n v="7"/>
    <n v="15.21"/>
    <x v="1"/>
    <n v="85.18"/>
    <n v="24.79"/>
    <n v="12.48"/>
    <x v="1"/>
  </r>
  <r>
    <s v="ORD-10418"/>
    <x v="181"/>
    <s v="Michael Rodriguez"/>
    <x v="1"/>
    <x v="18"/>
    <x v="4"/>
    <x v="2"/>
    <x v="4"/>
    <n v="1"/>
    <n v="206.62"/>
    <x v="3"/>
    <n v="185.96"/>
    <n v="11.69"/>
    <n v="50.3"/>
    <x v="3"/>
  </r>
  <r>
    <s v="ORD-10842"/>
    <x v="182"/>
    <s v="Hans Anderson"/>
    <x v="1"/>
    <x v="7"/>
    <x v="4"/>
    <x v="3"/>
    <x v="24"/>
    <n v="1"/>
    <n v="34.17"/>
    <x v="2"/>
    <n v="29.04"/>
    <n v="12.01"/>
    <n v="-0.06"/>
    <x v="1"/>
  </r>
  <r>
    <s v="ORD-11769"/>
    <x v="182"/>
    <s v="Liam Johansson"/>
    <x v="0"/>
    <x v="15"/>
    <x v="2"/>
    <x v="1"/>
    <x v="20"/>
    <n v="5"/>
    <n v="9.43"/>
    <x v="4"/>
    <n v="44.79"/>
    <n v="22.42"/>
    <n v="1.1499999999999999"/>
    <x v="1"/>
  </r>
  <r>
    <s v="ORD-11929"/>
    <x v="182"/>
    <s v="James Schmidt"/>
    <x v="1"/>
    <x v="17"/>
    <x v="3"/>
    <x v="0"/>
    <x v="3"/>
    <n v="3"/>
    <n v="67.349999999999994"/>
    <x v="0"/>
    <n v="202.05"/>
    <n v="12.44"/>
    <n v="78.48"/>
    <x v="2"/>
  </r>
  <r>
    <s v="ORD-11501"/>
    <x v="183"/>
    <s v="Wei Yamamoto"/>
    <x v="0"/>
    <x v="1"/>
    <x v="1"/>
    <x v="3"/>
    <x v="24"/>
    <n v="3"/>
    <n v="75.47"/>
    <x v="4"/>
    <n v="215.09"/>
    <n v="10.4"/>
    <n v="91.48"/>
    <x v="3"/>
  </r>
  <r>
    <s v="ORD-10363"/>
    <x v="184"/>
    <s v="Linda Brown"/>
    <x v="1"/>
    <x v="2"/>
    <x v="0"/>
    <x v="0"/>
    <x v="1"/>
    <n v="3"/>
    <n v="91.18"/>
    <x v="3"/>
    <n v="246.19"/>
    <n v="8.58"/>
    <n v="87.16"/>
    <x v="0"/>
  </r>
  <r>
    <s v="ORD-10496"/>
    <x v="184"/>
    <s v="Jamal Ahmed"/>
    <x v="0"/>
    <x v="2"/>
    <x v="0"/>
    <x v="0"/>
    <x v="3"/>
    <n v="2"/>
    <n v="88.88"/>
    <x v="3"/>
    <n v="159.97999999999999"/>
    <n v="7.63"/>
    <n v="54.58"/>
    <x v="3"/>
  </r>
  <r>
    <s v="ORD-11960"/>
    <x v="184"/>
    <s v="Ahmed Singh"/>
    <x v="2"/>
    <x v="8"/>
    <x v="1"/>
    <x v="2"/>
    <x v="36"/>
    <n v="3"/>
    <n v="120.89"/>
    <x v="1"/>
    <n v="290.14"/>
    <n v="14.12"/>
    <n v="58.42"/>
    <x v="2"/>
  </r>
  <r>
    <s v="ORD-10838"/>
    <x v="185"/>
    <s v="Pierre Wang"/>
    <x v="1"/>
    <x v="19"/>
    <x v="1"/>
    <x v="3"/>
    <x v="13"/>
    <n v="8"/>
    <n v="48.11"/>
    <x v="1"/>
    <n v="307.89999999999998"/>
    <n v="25.57"/>
    <n v="89.89"/>
    <x v="2"/>
  </r>
  <r>
    <s v="ORD-11909"/>
    <x v="186"/>
    <s v="Ivan Davis"/>
    <x v="0"/>
    <x v="10"/>
    <x v="3"/>
    <x v="2"/>
    <x v="8"/>
    <n v="5"/>
    <n v="79.11"/>
    <x v="3"/>
    <n v="356"/>
    <n v="16.05"/>
    <n v="102.62"/>
    <x v="1"/>
  </r>
  <r>
    <s v="ORD-10030"/>
    <x v="187"/>
    <s v="Giulia Taylor"/>
    <x v="0"/>
    <x v="18"/>
    <x v="4"/>
    <x v="1"/>
    <x v="17"/>
    <n v="2"/>
    <n v="17.66"/>
    <x v="2"/>
    <n v="30.02"/>
    <n v="13.05"/>
    <n v="1.08"/>
    <x v="1"/>
  </r>
  <r>
    <s v="ORD-11169"/>
    <x v="187"/>
    <s v="Hanna Rossi"/>
    <x v="1"/>
    <x v="14"/>
    <x v="1"/>
    <x v="1"/>
    <x v="2"/>
    <n v="5"/>
    <n v="7.76"/>
    <x v="3"/>
    <n v="34.92"/>
    <n v="15.79"/>
    <n v="1.67"/>
    <x v="2"/>
  </r>
  <r>
    <s v="ORD-11178"/>
    <x v="187"/>
    <s v="William Kim"/>
    <x v="1"/>
    <x v="13"/>
    <x v="0"/>
    <x v="2"/>
    <x v="5"/>
    <n v="3"/>
    <n v="97.26"/>
    <x v="3"/>
    <n v="262.60000000000002"/>
    <n v="10.56"/>
    <n v="76.97"/>
    <x v="0"/>
  </r>
  <r>
    <s v="ORD-10651"/>
    <x v="188"/>
    <s v="Giulia Pereira"/>
    <x v="1"/>
    <x v="16"/>
    <x v="3"/>
    <x v="3"/>
    <x v="33"/>
    <n v="1"/>
    <n v="18.190000000000001"/>
    <x v="0"/>
    <n v="18.190000000000001"/>
    <n v="9.6300000000000008"/>
    <n v="-0.54"/>
    <x v="1"/>
  </r>
  <r>
    <s v="ORD-10737"/>
    <x v="188"/>
    <s v="Barbara Hassan"/>
    <x v="1"/>
    <x v="10"/>
    <x v="3"/>
    <x v="0"/>
    <x v="7"/>
    <n v="8"/>
    <n v="75.459999999999994"/>
    <x v="2"/>
    <n v="513.13"/>
    <n v="16.190000000000001"/>
    <n v="164.92"/>
    <x v="1"/>
  </r>
  <r>
    <s v="ORD-10952"/>
    <x v="189"/>
    <s v="Karen Zhang"/>
    <x v="2"/>
    <x v="17"/>
    <x v="3"/>
    <x v="1"/>
    <x v="6"/>
    <n v="2"/>
    <n v="16.46"/>
    <x v="3"/>
    <n v="29.63"/>
    <n v="13.64"/>
    <n v="1.18"/>
    <x v="1"/>
  </r>
  <r>
    <s v="ORD-11481"/>
    <x v="189"/>
    <s v="Clara Clark"/>
    <x v="2"/>
    <x v="2"/>
    <x v="0"/>
    <x v="2"/>
    <x v="32"/>
    <n v="1"/>
    <n v="55.59"/>
    <x v="4"/>
    <n v="52.81"/>
    <n v="6.11"/>
    <n v="13.35"/>
    <x v="1"/>
  </r>
  <r>
    <s v="ORD-10852"/>
    <x v="190"/>
    <s v="Oscar White"/>
    <x v="0"/>
    <x v="0"/>
    <x v="0"/>
    <x v="3"/>
    <x v="11"/>
    <n v="1"/>
    <n v="78.86"/>
    <x v="3"/>
    <n v="70.97"/>
    <n v="7.4"/>
    <n v="24.14"/>
    <x v="1"/>
  </r>
  <r>
    <s v="ORD-11667"/>
    <x v="190"/>
    <s v="John Brown"/>
    <x v="1"/>
    <x v="14"/>
    <x v="1"/>
    <x v="0"/>
    <x v="31"/>
    <n v="1"/>
    <n v="89.29"/>
    <x v="4"/>
    <n v="84.83"/>
    <n v="9.18"/>
    <n v="26.54"/>
    <x v="2"/>
  </r>
  <r>
    <s v="ORD-10277"/>
    <x v="191"/>
    <s v="Amina Ali"/>
    <x v="1"/>
    <x v="0"/>
    <x v="0"/>
    <x v="3"/>
    <x v="9"/>
    <n v="1"/>
    <n v="22.46"/>
    <x v="4"/>
    <n v="21.34"/>
    <n v="6.95"/>
    <n v="3.16"/>
    <x v="1"/>
  </r>
  <r>
    <s v="ORD-10356"/>
    <x v="191"/>
    <s v="Oscar Thomas"/>
    <x v="2"/>
    <x v="13"/>
    <x v="0"/>
    <x v="1"/>
    <x v="23"/>
    <n v="4"/>
    <n v="12.89"/>
    <x v="4"/>
    <n v="48.98"/>
    <n v="9.57"/>
    <n v="16.21"/>
    <x v="1"/>
  </r>
  <r>
    <s v="ORD-10367"/>
    <x v="191"/>
    <s v="Karen Russo"/>
    <x v="1"/>
    <x v="19"/>
    <x v="1"/>
    <x v="0"/>
    <x v="7"/>
    <n v="9"/>
    <n v="27.41"/>
    <x v="0"/>
    <n v="246.69"/>
    <n v="12.06"/>
    <n v="98.95"/>
    <x v="1"/>
  </r>
  <r>
    <s v="ORD-10558"/>
    <x v="192"/>
    <s v="Susan Wang"/>
    <x v="1"/>
    <x v="12"/>
    <x v="4"/>
    <x v="3"/>
    <x v="11"/>
    <n v="6"/>
    <n v="78.77"/>
    <x v="0"/>
    <n v="472.62"/>
    <n v="19.75"/>
    <n v="216.56"/>
    <x v="2"/>
  </r>
  <r>
    <s v="ORD-11332"/>
    <x v="192"/>
    <s v="Fatima Patel"/>
    <x v="2"/>
    <x v="2"/>
    <x v="0"/>
    <x v="3"/>
    <x v="13"/>
    <n v="1"/>
    <n v="62.43"/>
    <x v="3"/>
    <n v="56.19"/>
    <n v="7.27"/>
    <n v="17.7"/>
    <x v="1"/>
  </r>
  <r>
    <s v="ORD-11526"/>
    <x v="192"/>
    <s v="Ethan Kim"/>
    <x v="0"/>
    <x v="7"/>
    <x v="4"/>
    <x v="3"/>
    <x v="13"/>
    <n v="1"/>
    <n v="59.71"/>
    <x v="2"/>
    <n v="50.75"/>
    <n v="11.43"/>
    <n v="9.4600000000000009"/>
    <x v="2"/>
  </r>
  <r>
    <s v="ORD-11846"/>
    <x v="192"/>
    <s v="Jennifer Garcia"/>
    <x v="1"/>
    <x v="12"/>
    <x v="4"/>
    <x v="3"/>
    <x v="13"/>
    <n v="2"/>
    <n v="148.55000000000001"/>
    <x v="3"/>
    <n v="267.39"/>
    <n v="14.84"/>
    <n v="104"/>
    <x v="0"/>
  </r>
  <r>
    <s v="ORD-10917"/>
    <x v="193"/>
    <s v="Kenji Suzuki"/>
    <x v="0"/>
    <x v="13"/>
    <x v="0"/>
    <x v="1"/>
    <x v="17"/>
    <n v="2"/>
    <n v="12.61"/>
    <x v="6"/>
    <n v="18.91"/>
    <n v="9.18"/>
    <n v="-1.62"/>
    <x v="1"/>
  </r>
  <r>
    <s v="ORD-11070"/>
    <x v="194"/>
    <s v="Wei Santos"/>
    <x v="0"/>
    <x v="13"/>
    <x v="0"/>
    <x v="3"/>
    <x v="30"/>
    <n v="1"/>
    <n v="8.92"/>
    <x v="0"/>
    <n v="8.92"/>
    <n v="7.37"/>
    <n v="-2.91"/>
    <x v="2"/>
  </r>
  <r>
    <s v="ORD-11557"/>
    <x v="194"/>
    <s v="Liam Pereira"/>
    <x v="2"/>
    <x v="10"/>
    <x v="3"/>
    <x v="3"/>
    <x v="27"/>
    <n v="3"/>
    <n v="48.47"/>
    <x v="1"/>
    <n v="116.33"/>
    <n v="10.91"/>
    <n v="32.72"/>
    <x v="3"/>
  </r>
  <r>
    <s v="ORD-10783"/>
    <x v="195"/>
    <s v="Ava Clark"/>
    <x v="0"/>
    <x v="4"/>
    <x v="2"/>
    <x v="0"/>
    <x v="31"/>
    <n v="1"/>
    <n v="156.51"/>
    <x v="5"/>
    <n v="109.56"/>
    <n v="13.21"/>
    <n v="10.27"/>
    <x v="2"/>
  </r>
  <r>
    <s v="ORD-10954"/>
    <x v="195"/>
    <s v="Mary Hassan"/>
    <x v="2"/>
    <x v="0"/>
    <x v="0"/>
    <x v="3"/>
    <x v="9"/>
    <n v="6"/>
    <n v="64.17"/>
    <x v="3"/>
    <n v="346.52"/>
    <n v="9.61"/>
    <n v="144.4"/>
    <x v="2"/>
  </r>
  <r>
    <s v="ORD-11085"/>
    <x v="195"/>
    <s v="Felix Smith"/>
    <x v="1"/>
    <x v="8"/>
    <x v="1"/>
    <x v="2"/>
    <x v="32"/>
    <n v="1"/>
    <n v="57.21"/>
    <x v="2"/>
    <n v="48.63"/>
    <n v="7.77"/>
    <n v="6.53"/>
    <x v="0"/>
  </r>
  <r>
    <s v="ORD-11684"/>
    <x v="195"/>
    <s v="Barbara Jones"/>
    <x v="1"/>
    <x v="2"/>
    <x v="0"/>
    <x v="1"/>
    <x v="2"/>
    <n v="1"/>
    <n v="14.44"/>
    <x v="4"/>
    <n v="13.72"/>
    <n v="6.28"/>
    <n v="0.94"/>
    <x v="1"/>
  </r>
  <r>
    <s v="ORD-10820"/>
    <x v="196"/>
    <s v="Christopher Williams"/>
    <x v="2"/>
    <x v="10"/>
    <x v="3"/>
    <x v="0"/>
    <x v="0"/>
    <n v="3"/>
    <n v="100.41"/>
    <x v="4"/>
    <n v="286.17"/>
    <n v="16.29"/>
    <n v="104.2"/>
    <x v="1"/>
  </r>
  <r>
    <s v="ORD-11293"/>
    <x v="196"/>
    <s v="Priya Weber"/>
    <x v="1"/>
    <x v="6"/>
    <x v="2"/>
    <x v="1"/>
    <x v="6"/>
    <n v="2"/>
    <n v="8.3000000000000007"/>
    <x v="4"/>
    <n v="15.77"/>
    <n v="15.44"/>
    <n v="-7.14"/>
    <x v="2"/>
  </r>
  <r>
    <s v="ORD-11529"/>
    <x v="196"/>
    <s v="Patricia Jackson"/>
    <x v="0"/>
    <x v="3"/>
    <x v="1"/>
    <x v="1"/>
    <x v="23"/>
    <n v="12"/>
    <n v="10.19"/>
    <x v="3"/>
    <n v="110.05"/>
    <n v="25.93"/>
    <n v="29.09"/>
    <x v="1"/>
  </r>
  <r>
    <s v="ORD-10009"/>
    <x v="197"/>
    <s v="Xiao Laurent"/>
    <x v="1"/>
    <x v="9"/>
    <x v="3"/>
    <x v="1"/>
    <x v="12"/>
    <n v="5"/>
    <n v="20.76"/>
    <x v="4"/>
    <n v="98.61"/>
    <n v="14.44"/>
    <n v="37.46"/>
    <x v="1"/>
  </r>
  <r>
    <s v="ORD-10301"/>
    <x v="197"/>
    <s v="Jamal Leroy"/>
    <x v="2"/>
    <x v="18"/>
    <x v="4"/>
    <x v="1"/>
    <x v="38"/>
    <n v="4"/>
    <n v="6.4"/>
    <x v="1"/>
    <n v="20.48"/>
    <n v="13.95"/>
    <n v="-4.99"/>
    <x v="1"/>
  </r>
  <r>
    <s v="ORD-10738"/>
    <x v="197"/>
    <s v="Liam Ali"/>
    <x v="2"/>
    <x v="3"/>
    <x v="1"/>
    <x v="0"/>
    <x v="0"/>
    <n v="9"/>
    <n v="156.74"/>
    <x v="0"/>
    <n v="1410.66"/>
    <n v="15.34"/>
    <n v="619.46"/>
    <x v="2"/>
  </r>
  <r>
    <s v="ORD-11681"/>
    <x v="197"/>
    <s v="Barbara Ali"/>
    <x v="1"/>
    <x v="18"/>
    <x v="4"/>
    <x v="2"/>
    <x v="8"/>
    <n v="2"/>
    <n v="127.96"/>
    <x v="0"/>
    <n v="255.92"/>
    <n v="12.79"/>
    <n v="89.58"/>
    <x v="1"/>
  </r>
  <r>
    <s v="ORD-11234"/>
    <x v="198"/>
    <s v="Ivan Pereira"/>
    <x v="2"/>
    <x v="6"/>
    <x v="2"/>
    <x v="3"/>
    <x v="33"/>
    <n v="14"/>
    <n v="36.74"/>
    <x v="4"/>
    <n v="488.64"/>
    <n v="27.48"/>
    <n v="203.98"/>
    <x v="2"/>
  </r>
  <r>
    <s v="ORD-10023"/>
    <x v="199"/>
    <s v="Omar Singh"/>
    <x v="1"/>
    <x v="15"/>
    <x v="2"/>
    <x v="3"/>
    <x v="30"/>
    <n v="2"/>
    <n v="11.42"/>
    <x v="0"/>
    <n v="22.84"/>
    <n v="13.37"/>
    <n v="-1.95"/>
    <x v="2"/>
  </r>
  <r>
    <s v="ORD-11515"/>
    <x v="199"/>
    <s v="Ethan Rodriguez"/>
    <x v="0"/>
    <x v="3"/>
    <x v="1"/>
    <x v="3"/>
    <x v="16"/>
    <n v="4"/>
    <n v="37.020000000000003"/>
    <x v="3"/>
    <n v="133.27000000000001"/>
    <n v="9.44"/>
    <n v="49.79"/>
    <x v="0"/>
  </r>
  <r>
    <s v="ORD-11537"/>
    <x v="199"/>
    <s v="Pierre Romano"/>
    <x v="1"/>
    <x v="13"/>
    <x v="0"/>
    <x v="0"/>
    <x v="22"/>
    <n v="9"/>
    <n v="82.15"/>
    <x v="3"/>
    <n v="665.42"/>
    <n v="21.38"/>
    <n v="237.4"/>
    <x v="3"/>
  </r>
  <r>
    <s v="ORD-10550"/>
    <x v="200"/>
    <s v="Omar Park"/>
    <x v="1"/>
    <x v="8"/>
    <x v="1"/>
    <x v="0"/>
    <x v="28"/>
    <n v="2"/>
    <n v="53.25"/>
    <x v="4"/>
    <n v="101.17"/>
    <n v="8.08"/>
    <n v="34.520000000000003"/>
    <x v="2"/>
  </r>
  <r>
    <s v="ORD-10927"/>
    <x v="200"/>
    <s v="Michael Khan"/>
    <x v="0"/>
    <x v="13"/>
    <x v="0"/>
    <x v="2"/>
    <x v="14"/>
    <n v="3"/>
    <n v="185.14"/>
    <x v="4"/>
    <n v="527.65"/>
    <n v="9.42"/>
    <n v="184.98"/>
    <x v="2"/>
  </r>
  <r>
    <s v="ORD-11657"/>
    <x v="200"/>
    <s v="Richard Tanaka"/>
    <x v="1"/>
    <x v="15"/>
    <x v="2"/>
    <x v="3"/>
    <x v="26"/>
    <n v="3"/>
    <n v="29.47"/>
    <x v="3"/>
    <n v="79.569999999999993"/>
    <n v="14.83"/>
    <n v="20.53"/>
    <x v="1"/>
  </r>
  <r>
    <s v="ORD-10201"/>
    <x v="201"/>
    <s v="Ayumi Martin"/>
    <x v="1"/>
    <x v="4"/>
    <x v="2"/>
    <x v="1"/>
    <x v="19"/>
    <n v="5"/>
    <n v="6.31"/>
    <x v="3"/>
    <n v="28.39"/>
    <n v="22.11"/>
    <n v="-7.92"/>
    <x v="2"/>
  </r>
  <r>
    <s v="ORD-10457"/>
    <x v="201"/>
    <s v="Omar Hassan"/>
    <x v="1"/>
    <x v="5"/>
    <x v="3"/>
    <x v="3"/>
    <x v="27"/>
    <n v="6"/>
    <n v="50.95"/>
    <x v="6"/>
    <n v="229.28"/>
    <n v="18.09"/>
    <n v="58.34"/>
    <x v="2"/>
  </r>
  <r>
    <s v="ORD-10219"/>
    <x v="202"/>
    <s v="Giulia Anderson"/>
    <x v="1"/>
    <x v="17"/>
    <x v="3"/>
    <x v="1"/>
    <x v="6"/>
    <n v="2"/>
    <n v="13.7"/>
    <x v="4"/>
    <n v="26.03"/>
    <n v="11.05"/>
    <n v="2.65"/>
    <x v="0"/>
  </r>
  <r>
    <s v="ORD-10571"/>
    <x v="202"/>
    <s v="Chen Rodriguez"/>
    <x v="2"/>
    <x v="1"/>
    <x v="1"/>
    <x v="1"/>
    <x v="38"/>
    <n v="5"/>
    <n v="8.73"/>
    <x v="1"/>
    <n v="34.92"/>
    <n v="13.19"/>
    <n v="2.09"/>
    <x v="0"/>
  </r>
  <r>
    <s v="ORD-10688"/>
    <x v="202"/>
    <s v="Mia Davis"/>
    <x v="1"/>
    <x v="16"/>
    <x v="3"/>
    <x v="0"/>
    <x v="35"/>
    <n v="1"/>
    <n v="34.68"/>
    <x v="3"/>
    <n v="31.21"/>
    <n v="10.64"/>
    <n v="1.5"/>
    <x v="1"/>
  </r>
  <r>
    <s v="ORD-11628"/>
    <x v="202"/>
    <s v="Isabella Taylor"/>
    <x v="0"/>
    <x v="2"/>
    <x v="0"/>
    <x v="3"/>
    <x v="26"/>
    <n v="1"/>
    <n v="25.23"/>
    <x v="5"/>
    <n v="17.66"/>
    <n v="6.63"/>
    <n v="-1.58"/>
    <x v="2"/>
  </r>
  <r>
    <s v="ORD-10153"/>
    <x v="203"/>
    <s v="Mary Martin"/>
    <x v="0"/>
    <x v="9"/>
    <x v="3"/>
    <x v="2"/>
    <x v="5"/>
    <n v="3"/>
    <n v="116.76"/>
    <x v="1"/>
    <n v="280.22000000000003"/>
    <n v="14.72"/>
    <n v="55.33"/>
    <x v="1"/>
  </r>
  <r>
    <s v="ORD-10320"/>
    <x v="203"/>
    <s v="Priya Jackson"/>
    <x v="1"/>
    <x v="2"/>
    <x v="0"/>
    <x v="1"/>
    <x v="2"/>
    <n v="4"/>
    <n v="13.92"/>
    <x v="4"/>
    <n v="52.9"/>
    <n v="10.83"/>
    <n v="17.010000000000002"/>
    <x v="1"/>
  </r>
  <r>
    <s v="ORD-11328"/>
    <x v="203"/>
    <s v="Mary Chen"/>
    <x v="2"/>
    <x v="14"/>
    <x v="1"/>
    <x v="0"/>
    <x v="22"/>
    <n v="5"/>
    <n v="76.290000000000006"/>
    <x v="4"/>
    <n v="362.38"/>
    <n v="19.14"/>
    <n v="133.44"/>
    <x v="2"/>
  </r>
  <r>
    <s v="ORD-11379"/>
    <x v="203"/>
    <s v="Omar Park"/>
    <x v="0"/>
    <x v="2"/>
    <x v="0"/>
    <x v="0"/>
    <x v="3"/>
    <n v="1"/>
    <n v="37.56"/>
    <x v="4"/>
    <n v="35.68"/>
    <n v="5.59"/>
    <n v="9.43"/>
    <x v="2"/>
  </r>
  <r>
    <s v="ORD-11780"/>
    <x v="203"/>
    <s v="Clara Tanaka"/>
    <x v="0"/>
    <x v="11"/>
    <x v="2"/>
    <x v="0"/>
    <x v="29"/>
    <n v="3"/>
    <n v="20.28"/>
    <x v="0"/>
    <n v="60.84"/>
    <n v="15.83"/>
    <n v="11.55"/>
    <x v="1"/>
  </r>
  <r>
    <s v="ORD-11483"/>
    <x v="204"/>
    <s v="Clara Robinson"/>
    <x v="2"/>
    <x v="19"/>
    <x v="1"/>
    <x v="1"/>
    <x v="20"/>
    <n v="4"/>
    <n v="9.0500000000000007"/>
    <x v="0"/>
    <n v="36.200000000000003"/>
    <n v="10.130000000000001"/>
    <n v="9.7799999999999994"/>
    <x v="0"/>
  </r>
  <r>
    <s v="ORD-11717"/>
    <x v="205"/>
    <s v="Michael Ali"/>
    <x v="1"/>
    <x v="14"/>
    <x v="1"/>
    <x v="0"/>
    <x v="18"/>
    <n v="13"/>
    <n v="26.62"/>
    <x v="2"/>
    <n v="294.14999999999998"/>
    <n v="30.98"/>
    <n v="72.84"/>
    <x v="1"/>
  </r>
  <r>
    <s v="ORD-11161"/>
    <x v="206"/>
    <s v="Yuki Zhang"/>
    <x v="1"/>
    <x v="0"/>
    <x v="0"/>
    <x v="3"/>
    <x v="26"/>
    <n v="1"/>
    <n v="17.03"/>
    <x v="6"/>
    <n v="12.77"/>
    <n v="6.99"/>
    <n v="-2.74"/>
    <x v="3"/>
  </r>
  <r>
    <s v="ORD-11422"/>
    <x v="206"/>
    <s v="David Clark"/>
    <x v="1"/>
    <x v="14"/>
    <x v="1"/>
    <x v="2"/>
    <x v="8"/>
    <n v="10"/>
    <n v="67.099999999999994"/>
    <x v="3"/>
    <n v="603.9"/>
    <n v="14.47"/>
    <n v="186.83"/>
    <x v="0"/>
  </r>
  <r>
    <s v="ORD-11685"/>
    <x v="206"/>
    <s v="John Laurent"/>
    <x v="1"/>
    <x v="2"/>
    <x v="0"/>
    <x v="2"/>
    <x v="5"/>
    <n v="2"/>
    <n v="199.2"/>
    <x v="3"/>
    <n v="358.56"/>
    <n v="9.5299999999999994"/>
    <n v="109.99"/>
    <x v="1"/>
  </r>
  <r>
    <s v="ORD-10341"/>
    <x v="207"/>
    <s v="Ethan Yamamoto"/>
    <x v="2"/>
    <x v="10"/>
    <x v="3"/>
    <x v="1"/>
    <x v="38"/>
    <n v="1"/>
    <n v="7.16"/>
    <x v="3"/>
    <n v="6.44"/>
    <n v="10.26"/>
    <n v="-7.04"/>
    <x v="1"/>
  </r>
  <r>
    <s v="ORD-10872"/>
    <x v="207"/>
    <s v="Olga Leroy"/>
    <x v="1"/>
    <x v="17"/>
    <x v="3"/>
    <x v="1"/>
    <x v="2"/>
    <n v="1"/>
    <n v="12.17"/>
    <x v="2"/>
    <n v="10.34"/>
    <n v="11.21"/>
    <n v="-6.35"/>
    <x v="3"/>
  </r>
  <r>
    <s v="ORD-11441"/>
    <x v="208"/>
    <s v="Noah Taylor"/>
    <x v="1"/>
    <x v="0"/>
    <x v="0"/>
    <x v="1"/>
    <x v="17"/>
    <n v="5"/>
    <n v="19.47"/>
    <x v="4"/>
    <n v="92.48"/>
    <n v="11.28"/>
    <n v="37.39"/>
    <x v="0"/>
  </r>
  <r>
    <s v="ORD-11906"/>
    <x v="208"/>
    <s v="Amina Johansson"/>
    <x v="1"/>
    <x v="8"/>
    <x v="1"/>
    <x v="3"/>
    <x v="30"/>
    <n v="2"/>
    <n v="14.43"/>
    <x v="3"/>
    <n v="25.97"/>
    <n v="9.92"/>
    <n v="1.62"/>
    <x v="2"/>
  </r>
  <r>
    <s v="ORD-10447"/>
    <x v="209"/>
    <s v="Hans Smith"/>
    <x v="1"/>
    <x v="10"/>
    <x v="3"/>
    <x v="1"/>
    <x v="17"/>
    <n v="2"/>
    <n v="11.34"/>
    <x v="0"/>
    <n v="22.68"/>
    <n v="13.99"/>
    <n v="-1.52"/>
    <x v="2"/>
  </r>
  <r>
    <s v="ORD-11532"/>
    <x v="209"/>
    <s v="Yuki Rodriguez"/>
    <x v="0"/>
    <x v="2"/>
    <x v="0"/>
    <x v="0"/>
    <x v="1"/>
    <n v="1"/>
    <n v="152.34"/>
    <x v="4"/>
    <n v="144.72"/>
    <n v="7.22"/>
    <n v="53.71"/>
    <x v="1"/>
  </r>
  <r>
    <s v="ORD-11533"/>
    <x v="209"/>
    <s v="Jamal Clark"/>
    <x v="1"/>
    <x v="15"/>
    <x v="2"/>
    <x v="0"/>
    <x v="18"/>
    <n v="1"/>
    <n v="27.11"/>
    <x v="4"/>
    <n v="25.75"/>
    <n v="13.15"/>
    <n v="-2.31"/>
    <x v="3"/>
  </r>
  <r>
    <s v="ORD-11601"/>
    <x v="209"/>
    <s v="Sarah Jackson"/>
    <x v="2"/>
    <x v="18"/>
    <x v="4"/>
    <x v="2"/>
    <x v="15"/>
    <n v="2"/>
    <n v="426.27"/>
    <x v="3"/>
    <n v="767.29"/>
    <n v="12.53"/>
    <n v="243.24"/>
    <x v="1"/>
  </r>
  <r>
    <s v="ORD-11867"/>
    <x v="209"/>
    <s v="Thomas Santos"/>
    <x v="1"/>
    <x v="0"/>
    <x v="0"/>
    <x v="3"/>
    <x v="11"/>
    <n v="1"/>
    <n v="42.55"/>
    <x v="4"/>
    <n v="40.42"/>
    <n v="7.38"/>
    <n v="11.77"/>
    <x v="1"/>
  </r>
  <r>
    <s v="ORD-11030"/>
    <x v="210"/>
    <s v="Chen Patel"/>
    <x v="2"/>
    <x v="9"/>
    <x v="3"/>
    <x v="0"/>
    <x v="28"/>
    <n v="5"/>
    <n v="28.98"/>
    <x v="0"/>
    <n v="144.9"/>
    <n v="12.42"/>
    <n v="52.78"/>
    <x v="0"/>
  </r>
  <r>
    <s v="ORD-11191"/>
    <x v="211"/>
    <s v="Maria Rodriguez"/>
    <x v="1"/>
    <x v="0"/>
    <x v="0"/>
    <x v="3"/>
    <x v="24"/>
    <n v="1"/>
    <n v="79.27"/>
    <x v="3"/>
    <n v="71.34"/>
    <n v="6.56"/>
    <n v="25.15"/>
    <x v="1"/>
  </r>
  <r>
    <s v="ORD-11520"/>
    <x v="211"/>
    <s v="Olga Taylor"/>
    <x v="1"/>
    <x v="0"/>
    <x v="0"/>
    <x v="2"/>
    <x v="32"/>
    <n v="6"/>
    <n v="47.47"/>
    <x v="0"/>
    <n v="284.82"/>
    <n v="11.93"/>
    <n v="102"/>
    <x v="1"/>
  </r>
  <r>
    <s v="ORD-11840"/>
    <x v="211"/>
    <s v="Omar Russo"/>
    <x v="2"/>
    <x v="10"/>
    <x v="3"/>
    <x v="1"/>
    <x v="10"/>
    <n v="4"/>
    <n v="4.1900000000000004"/>
    <x v="0"/>
    <n v="16.760000000000002"/>
    <n v="13.27"/>
    <n v="-4.05"/>
    <x v="1"/>
  </r>
  <r>
    <s v="ORD-10500"/>
    <x v="212"/>
    <s v="Sakura Ali"/>
    <x v="1"/>
    <x v="4"/>
    <x v="2"/>
    <x v="0"/>
    <x v="18"/>
    <n v="2"/>
    <n v="61.26"/>
    <x v="3"/>
    <n v="110.27"/>
    <n v="14.33"/>
    <n v="28.55"/>
    <x v="1"/>
  </r>
  <r>
    <s v="ORD-11461"/>
    <x v="212"/>
    <s v="Marco Sato"/>
    <x v="1"/>
    <x v="2"/>
    <x v="0"/>
    <x v="1"/>
    <x v="2"/>
    <n v="2"/>
    <n v="13.62"/>
    <x v="2"/>
    <n v="23.15"/>
    <n v="7.75"/>
    <n v="3.14"/>
    <x v="2"/>
  </r>
  <r>
    <s v="ORD-10713"/>
    <x v="213"/>
    <s v="Sophie Brown"/>
    <x v="0"/>
    <x v="2"/>
    <x v="0"/>
    <x v="0"/>
    <x v="0"/>
    <n v="2"/>
    <n v="66.08"/>
    <x v="3"/>
    <n v="118.94"/>
    <n v="9.35"/>
    <n v="36.9"/>
    <x v="1"/>
  </r>
  <r>
    <s v="ORD-10908"/>
    <x v="213"/>
    <s v="Diego Harris"/>
    <x v="1"/>
    <x v="3"/>
    <x v="1"/>
    <x v="0"/>
    <x v="1"/>
    <n v="1"/>
    <n v="77.47"/>
    <x v="0"/>
    <n v="77.47"/>
    <n v="9.23"/>
    <n v="25.63"/>
    <x v="3"/>
  </r>
  <r>
    <s v="ORD-11544"/>
    <x v="213"/>
    <s v="Noah Moreau"/>
    <x v="0"/>
    <x v="3"/>
    <x v="1"/>
    <x v="2"/>
    <x v="39"/>
    <n v="10"/>
    <n v="83.62"/>
    <x v="1"/>
    <n v="668.96"/>
    <n v="31.2"/>
    <n v="136.04"/>
    <x v="0"/>
  </r>
  <r>
    <s v="ORD-10399"/>
    <x v="214"/>
    <s v="Chen Garcia"/>
    <x v="1"/>
    <x v="5"/>
    <x v="3"/>
    <x v="0"/>
    <x v="35"/>
    <n v="1"/>
    <n v="51.7"/>
    <x v="3"/>
    <n v="46.53"/>
    <n v="10.95"/>
    <n v="7.14"/>
    <x v="0"/>
  </r>
  <r>
    <s v="ORD-10576"/>
    <x v="214"/>
    <s v="Fatima Wang"/>
    <x v="1"/>
    <x v="17"/>
    <x v="3"/>
    <x v="1"/>
    <x v="25"/>
    <n v="4"/>
    <n v="7.5"/>
    <x v="3"/>
    <n v="27"/>
    <n v="11.42"/>
    <n v="2.08"/>
    <x v="2"/>
  </r>
  <r>
    <s v="ORD-11991"/>
    <x v="214"/>
    <s v="Hanna Santos"/>
    <x v="2"/>
    <x v="16"/>
    <x v="3"/>
    <x v="0"/>
    <x v="22"/>
    <n v="1"/>
    <n v="149.93"/>
    <x v="3"/>
    <n v="134.94"/>
    <n v="9.7899999999999991"/>
    <n v="42.69"/>
    <x v="1"/>
  </r>
  <r>
    <s v="ORD-11518"/>
    <x v="215"/>
    <s v="Ingrid Weber"/>
    <x v="0"/>
    <x v="0"/>
    <x v="0"/>
    <x v="2"/>
    <x v="36"/>
    <n v="5"/>
    <n v="107.46"/>
    <x v="2"/>
    <n v="456.7"/>
    <n v="9.9"/>
    <n v="124.42"/>
    <x v="2"/>
  </r>
  <r>
    <s v="ORD-11795"/>
    <x v="216"/>
    <s v="Ali Johnson"/>
    <x v="0"/>
    <x v="2"/>
    <x v="0"/>
    <x v="2"/>
    <x v="32"/>
    <n v="14"/>
    <n v="61.54"/>
    <x v="5"/>
    <n v="603.09"/>
    <n v="33.58"/>
    <n v="52.57"/>
    <x v="1"/>
  </r>
  <r>
    <s v="ORD-11323"/>
    <x v="217"/>
    <s v="Hanna Khan"/>
    <x v="1"/>
    <x v="7"/>
    <x v="4"/>
    <x v="0"/>
    <x v="29"/>
    <n v="2"/>
    <n v="25.4"/>
    <x v="0"/>
    <n v="50.8"/>
    <n v="12.94"/>
    <n v="9.92"/>
    <x v="1"/>
  </r>
  <r>
    <s v="ORD-10752"/>
    <x v="218"/>
    <s v="Liam Laurent"/>
    <x v="1"/>
    <x v="2"/>
    <x v="0"/>
    <x v="2"/>
    <x v="8"/>
    <n v="6"/>
    <n v="110.59"/>
    <x v="3"/>
    <n v="597.19000000000005"/>
    <n v="11.12"/>
    <n v="187.95"/>
    <x v="2"/>
  </r>
  <r>
    <s v="ORD-11390"/>
    <x v="218"/>
    <s v="Elizabeth Martin"/>
    <x v="1"/>
    <x v="8"/>
    <x v="1"/>
    <x v="0"/>
    <x v="35"/>
    <n v="5"/>
    <n v="25.73"/>
    <x v="2"/>
    <n v="109.35"/>
    <n v="11.76"/>
    <n v="26.83"/>
    <x v="3"/>
  </r>
  <r>
    <s v="ORD-11884"/>
    <x v="218"/>
    <s v="Joseph Martinez"/>
    <x v="2"/>
    <x v="13"/>
    <x v="0"/>
    <x v="1"/>
    <x v="2"/>
    <n v="1"/>
    <n v="12.82"/>
    <x v="1"/>
    <n v="10.26"/>
    <n v="6.98"/>
    <n v="-2.4900000000000002"/>
    <x v="3"/>
  </r>
  <r>
    <s v="ORD-11239"/>
    <x v="219"/>
    <s v="Ali Johansson"/>
    <x v="0"/>
    <x v="0"/>
    <x v="0"/>
    <x v="3"/>
    <x v="13"/>
    <n v="5"/>
    <n v="133.6"/>
    <x v="6"/>
    <n v="501"/>
    <n v="14.42"/>
    <n v="152.58000000000001"/>
    <x v="1"/>
  </r>
  <r>
    <s v="ORD-11890"/>
    <x v="219"/>
    <s v="Michael Li"/>
    <x v="0"/>
    <x v="13"/>
    <x v="0"/>
    <x v="2"/>
    <x v="32"/>
    <n v="7"/>
    <n v="67.53"/>
    <x v="4"/>
    <n v="449.07"/>
    <n v="22.4"/>
    <n v="143.04"/>
    <x v="1"/>
  </r>
  <r>
    <s v="ORD-11911"/>
    <x v="220"/>
    <s v="Lucas Thomas"/>
    <x v="0"/>
    <x v="5"/>
    <x v="3"/>
    <x v="3"/>
    <x v="11"/>
    <n v="2"/>
    <n v="36.08"/>
    <x v="5"/>
    <n v="50.51"/>
    <n v="12.81"/>
    <n v="1.62"/>
    <x v="2"/>
  </r>
  <r>
    <s v="ORD-10321"/>
    <x v="221"/>
    <s v="Ahmed Sharma"/>
    <x v="2"/>
    <x v="0"/>
    <x v="0"/>
    <x v="1"/>
    <x v="20"/>
    <n v="3"/>
    <n v="7.89"/>
    <x v="2"/>
    <n v="20.12"/>
    <n v="7.38"/>
    <n v="2.09"/>
    <x v="1"/>
  </r>
  <r>
    <s v="ORD-10600"/>
    <x v="221"/>
    <s v="Kenji Taylor"/>
    <x v="1"/>
    <x v="9"/>
    <x v="3"/>
    <x v="2"/>
    <x v="36"/>
    <n v="4"/>
    <n v="197.76"/>
    <x v="4"/>
    <n v="751.49"/>
    <n v="15.67"/>
    <n v="261.2"/>
    <x v="2"/>
  </r>
  <r>
    <s v="ORD-10955"/>
    <x v="222"/>
    <s v="James Clark"/>
    <x v="1"/>
    <x v="15"/>
    <x v="2"/>
    <x v="2"/>
    <x v="21"/>
    <n v="4"/>
    <n v="55.59"/>
    <x v="3"/>
    <n v="200.12"/>
    <n v="16.82"/>
    <n v="49.88"/>
    <x v="3"/>
  </r>
  <r>
    <s v="ORD-10891"/>
    <x v="223"/>
    <s v="Xiao Wang"/>
    <x v="1"/>
    <x v="12"/>
    <x v="4"/>
    <x v="2"/>
    <x v="5"/>
    <n v="2"/>
    <n v="115.98"/>
    <x v="0"/>
    <n v="231.96"/>
    <n v="13.7"/>
    <n v="79.08"/>
    <x v="0"/>
  </r>
  <r>
    <s v="ORD-10920"/>
    <x v="223"/>
    <s v="Layla Fischer"/>
    <x v="0"/>
    <x v="5"/>
    <x v="3"/>
    <x v="0"/>
    <x v="22"/>
    <n v="2"/>
    <n v="137.32"/>
    <x v="4"/>
    <n v="260.91000000000003"/>
    <n v="13.4"/>
    <n v="96.46"/>
    <x v="2"/>
  </r>
  <r>
    <s v="ORD-10984"/>
    <x v="223"/>
    <s v="Sarah Khan"/>
    <x v="2"/>
    <x v="18"/>
    <x v="4"/>
    <x v="0"/>
    <x v="31"/>
    <n v="3"/>
    <n v="153.34"/>
    <x v="0"/>
    <n v="460.02"/>
    <n v="16.46"/>
    <n v="190.55"/>
    <x v="1"/>
  </r>
  <r>
    <s v="ORD-10128"/>
    <x v="224"/>
    <s v="Lucas Leroy"/>
    <x v="0"/>
    <x v="1"/>
    <x v="1"/>
    <x v="1"/>
    <x v="25"/>
    <n v="2"/>
    <n v="5.85"/>
    <x v="2"/>
    <n v="9.94"/>
    <n v="9.91"/>
    <n v="-5.24"/>
    <x v="2"/>
  </r>
  <r>
    <s v="ORD-10298"/>
    <x v="225"/>
    <s v="Jessica Tanaka"/>
    <x v="1"/>
    <x v="13"/>
    <x v="0"/>
    <x v="0"/>
    <x v="22"/>
    <n v="3"/>
    <n v="60.51"/>
    <x v="1"/>
    <n v="145.22"/>
    <n v="6.74"/>
    <n v="38.64"/>
    <x v="0"/>
  </r>
  <r>
    <s v="ORD-10442"/>
    <x v="225"/>
    <s v="Jessica Wang"/>
    <x v="2"/>
    <x v="2"/>
    <x v="0"/>
    <x v="2"/>
    <x v="8"/>
    <n v="1"/>
    <n v="112.29"/>
    <x v="0"/>
    <n v="112.29"/>
    <n v="5.87"/>
    <n v="39.049999999999997"/>
    <x v="1"/>
  </r>
  <r>
    <s v="ORD-10231"/>
    <x v="226"/>
    <s v="Sarah Davis"/>
    <x v="1"/>
    <x v="6"/>
    <x v="2"/>
    <x v="0"/>
    <x v="18"/>
    <n v="4"/>
    <n v="43.61"/>
    <x v="3"/>
    <n v="157"/>
    <n v="17.66"/>
    <n v="43.4"/>
    <x v="1"/>
  </r>
  <r>
    <s v="ORD-11813"/>
    <x v="226"/>
    <s v="Sarah Thompson"/>
    <x v="1"/>
    <x v="18"/>
    <x v="4"/>
    <x v="0"/>
    <x v="28"/>
    <n v="2"/>
    <n v="22.12"/>
    <x v="3"/>
    <n v="39.82"/>
    <n v="11.38"/>
    <n v="4.1100000000000003"/>
    <x v="2"/>
  </r>
  <r>
    <s v="ORD-10063"/>
    <x v="227"/>
    <s v="Isabella Patel"/>
    <x v="1"/>
    <x v="13"/>
    <x v="0"/>
    <x v="3"/>
    <x v="9"/>
    <n v="3"/>
    <n v="59.04"/>
    <x v="0"/>
    <n v="177.12"/>
    <n v="10.28"/>
    <n v="78.28"/>
    <x v="3"/>
  </r>
  <r>
    <s v="ORD-10343"/>
    <x v="227"/>
    <s v="Lucas Oliveira"/>
    <x v="1"/>
    <x v="1"/>
    <x v="1"/>
    <x v="3"/>
    <x v="26"/>
    <n v="4"/>
    <n v="42.94"/>
    <x v="2"/>
    <n v="146"/>
    <n v="13.44"/>
    <n v="46.68"/>
    <x v="0"/>
  </r>
  <r>
    <s v="ORD-10554"/>
    <x v="227"/>
    <s v="Olivia Ferrari"/>
    <x v="2"/>
    <x v="10"/>
    <x v="3"/>
    <x v="3"/>
    <x v="37"/>
    <n v="6"/>
    <n v="77.510000000000005"/>
    <x v="3"/>
    <n v="418.55"/>
    <n v="20.82"/>
    <n v="165.2"/>
    <x v="3"/>
  </r>
  <r>
    <s v="ORD-11643"/>
    <x v="227"/>
    <s v="Xiao Ferrari"/>
    <x v="2"/>
    <x v="19"/>
    <x v="1"/>
    <x v="0"/>
    <x v="7"/>
    <n v="1"/>
    <n v="52.59"/>
    <x v="2"/>
    <n v="44.7"/>
    <n v="8.76"/>
    <n v="7.02"/>
    <x v="2"/>
  </r>
  <r>
    <s v="ORD-10085"/>
    <x v="228"/>
    <s v="Marco Nilsson"/>
    <x v="1"/>
    <x v="9"/>
    <x v="3"/>
    <x v="0"/>
    <x v="1"/>
    <n v="1"/>
    <n v="126.55"/>
    <x v="0"/>
    <n v="126.55"/>
    <n v="9.75"/>
    <n v="47.2"/>
    <x v="2"/>
  </r>
  <r>
    <s v="ORD-10210"/>
    <x v="229"/>
    <s v="Mary Smith"/>
    <x v="0"/>
    <x v="4"/>
    <x v="2"/>
    <x v="2"/>
    <x v="39"/>
    <n v="5"/>
    <n v="145.12"/>
    <x v="0"/>
    <n v="725.6"/>
    <n v="16.63"/>
    <n v="273.61"/>
    <x v="0"/>
  </r>
  <r>
    <s v="ORD-11745"/>
    <x v="229"/>
    <s v="John Patel"/>
    <x v="1"/>
    <x v="9"/>
    <x v="3"/>
    <x v="3"/>
    <x v="24"/>
    <n v="4"/>
    <n v="26.2"/>
    <x v="4"/>
    <n v="99.56"/>
    <n v="17.25"/>
    <n v="29.91"/>
    <x v="1"/>
  </r>
  <r>
    <s v="ORD-10574"/>
    <x v="230"/>
    <s v="Ayumi Ali"/>
    <x v="0"/>
    <x v="1"/>
    <x v="1"/>
    <x v="1"/>
    <x v="12"/>
    <n v="5"/>
    <n v="18.82"/>
    <x v="2"/>
    <n v="79.98"/>
    <n v="10.99"/>
    <n v="26.65"/>
    <x v="3"/>
  </r>
  <r>
    <s v="ORD-10881"/>
    <x v="230"/>
    <s v="Sophie Clark"/>
    <x v="2"/>
    <x v="5"/>
    <x v="3"/>
    <x v="2"/>
    <x v="36"/>
    <n v="1"/>
    <n v="238.24"/>
    <x v="0"/>
    <n v="238.24"/>
    <n v="10.130000000000001"/>
    <n v="85.17"/>
    <x v="1"/>
  </r>
  <r>
    <s v="ORD-10926"/>
    <x v="230"/>
    <s v="Priya Garcia"/>
    <x v="0"/>
    <x v="9"/>
    <x v="3"/>
    <x v="2"/>
    <x v="15"/>
    <n v="1"/>
    <n v="222.71"/>
    <x v="2"/>
    <n v="189.3"/>
    <n v="10.45"/>
    <n v="45.22"/>
    <x v="1"/>
  </r>
  <r>
    <s v="ORD-11699"/>
    <x v="230"/>
    <s v="Emma Martinez"/>
    <x v="2"/>
    <x v="4"/>
    <x v="2"/>
    <x v="0"/>
    <x v="29"/>
    <n v="4"/>
    <n v="36.61"/>
    <x v="2"/>
    <n v="124.47"/>
    <n v="16.07"/>
    <n v="27.86"/>
    <x v="1"/>
  </r>
  <r>
    <s v="ORD-10635"/>
    <x v="231"/>
    <s v="Fatima Martin"/>
    <x v="2"/>
    <x v="10"/>
    <x v="3"/>
    <x v="2"/>
    <x v="34"/>
    <n v="4"/>
    <n v="59.01"/>
    <x v="0"/>
    <n v="236.04"/>
    <n v="11.14"/>
    <n v="83.28"/>
    <x v="0"/>
  </r>
  <r>
    <s v="ORD-10137"/>
    <x v="232"/>
    <s v="Jamal Robinson"/>
    <x v="0"/>
    <x v="4"/>
    <x v="2"/>
    <x v="3"/>
    <x v="16"/>
    <n v="2"/>
    <n v="49.37"/>
    <x v="3"/>
    <n v="88.87"/>
    <n v="14.28"/>
    <n v="25.22"/>
    <x v="1"/>
  </r>
  <r>
    <s v="ORD-10196"/>
    <x v="232"/>
    <s v="Carlos Santos"/>
    <x v="0"/>
    <x v="11"/>
    <x v="2"/>
    <x v="2"/>
    <x v="39"/>
    <n v="1"/>
    <n v="131.91"/>
    <x v="2"/>
    <n v="112.12"/>
    <n v="12.52"/>
    <n v="20.45"/>
    <x v="2"/>
  </r>
  <r>
    <s v="ORD-11561"/>
    <x v="232"/>
    <s v="Omar Li"/>
    <x v="0"/>
    <x v="7"/>
    <x v="4"/>
    <x v="0"/>
    <x v="3"/>
    <n v="2"/>
    <n v="79.63"/>
    <x v="3"/>
    <n v="143.33000000000001"/>
    <n v="11.45"/>
    <n v="44.29"/>
    <x v="1"/>
  </r>
  <r>
    <s v="ORD-10421"/>
    <x v="233"/>
    <s v="Noah Johansson"/>
    <x v="2"/>
    <x v="3"/>
    <x v="1"/>
    <x v="2"/>
    <x v="14"/>
    <n v="2"/>
    <n v="399.1"/>
    <x v="4"/>
    <n v="758.29"/>
    <n v="10.3"/>
    <n v="269.07"/>
    <x v="2"/>
  </r>
  <r>
    <s v="ORD-11651"/>
    <x v="233"/>
    <s v="Hanna Yamamoto"/>
    <x v="1"/>
    <x v="9"/>
    <x v="3"/>
    <x v="2"/>
    <x v="15"/>
    <n v="6"/>
    <n v="241.8"/>
    <x v="4"/>
    <n v="1378.26"/>
    <n v="22.07"/>
    <n v="485.71"/>
    <x v="0"/>
  </r>
  <r>
    <s v="ORD-10380"/>
    <x v="234"/>
    <s v="William Yamamoto"/>
    <x v="0"/>
    <x v="5"/>
    <x v="3"/>
    <x v="2"/>
    <x v="39"/>
    <n v="4"/>
    <n v="162.94"/>
    <x v="4"/>
    <n v="619.16999999999996"/>
    <n v="15.93"/>
    <n v="212.18"/>
    <x v="3"/>
  </r>
  <r>
    <s v="ORD-11181"/>
    <x v="234"/>
    <s v="Joseph Leroy"/>
    <x v="1"/>
    <x v="7"/>
    <x v="4"/>
    <x v="0"/>
    <x v="28"/>
    <n v="1"/>
    <n v="44.26"/>
    <x v="0"/>
    <n v="44.26"/>
    <n v="12.32"/>
    <n v="7.6"/>
    <x v="2"/>
  </r>
  <r>
    <s v="ORD-11321"/>
    <x v="234"/>
    <s v="Giulia Khan"/>
    <x v="2"/>
    <x v="0"/>
    <x v="0"/>
    <x v="1"/>
    <x v="20"/>
    <n v="4"/>
    <n v="6.82"/>
    <x v="4"/>
    <n v="25.92"/>
    <n v="9.89"/>
    <n v="3.75"/>
    <x v="2"/>
  </r>
  <r>
    <s v="ORD-11763"/>
    <x v="234"/>
    <s v="Diego Pereira"/>
    <x v="2"/>
    <x v="4"/>
    <x v="2"/>
    <x v="3"/>
    <x v="16"/>
    <n v="3"/>
    <n v="59.55"/>
    <x v="0"/>
    <n v="178.65"/>
    <n v="14.68"/>
    <n v="74.650000000000006"/>
    <x v="2"/>
  </r>
  <r>
    <s v="ORD-10203"/>
    <x v="235"/>
    <s v="Raj Oliveira"/>
    <x v="0"/>
    <x v="18"/>
    <x v="4"/>
    <x v="3"/>
    <x v="37"/>
    <n v="13"/>
    <n v="74.959999999999994"/>
    <x v="1"/>
    <n v="779.58"/>
    <n v="19.8"/>
    <n v="272.54000000000002"/>
    <x v="0"/>
  </r>
  <r>
    <s v="ORD-10398"/>
    <x v="235"/>
    <s v="Ayumi Garcia"/>
    <x v="0"/>
    <x v="2"/>
    <x v="0"/>
    <x v="2"/>
    <x v="34"/>
    <n v="1"/>
    <n v="35.29"/>
    <x v="3"/>
    <n v="31.76"/>
    <n v="6.93"/>
    <n v="3.66"/>
    <x v="1"/>
  </r>
  <r>
    <s v="ORD-10997"/>
    <x v="235"/>
    <s v="Felix Kim"/>
    <x v="0"/>
    <x v="13"/>
    <x v="0"/>
    <x v="2"/>
    <x v="39"/>
    <n v="4"/>
    <n v="129.80000000000001"/>
    <x v="3"/>
    <n v="467.28"/>
    <n v="10.02"/>
    <n v="145.74"/>
    <x v="2"/>
  </r>
  <r>
    <s v="ORD-11396"/>
    <x v="235"/>
    <s v="Zara Moreau"/>
    <x v="1"/>
    <x v="18"/>
    <x v="4"/>
    <x v="1"/>
    <x v="20"/>
    <n v="1"/>
    <n v="6.83"/>
    <x v="0"/>
    <n v="6.83"/>
    <n v="12.47"/>
    <n v="-8.7100000000000009"/>
    <x v="2"/>
  </r>
  <r>
    <s v="ORD-11837"/>
    <x v="235"/>
    <s v="Richard Romano"/>
    <x v="0"/>
    <x v="18"/>
    <x v="4"/>
    <x v="2"/>
    <x v="14"/>
    <n v="1"/>
    <n v="340.77"/>
    <x v="5"/>
    <n v="238.54"/>
    <n v="11.54"/>
    <n v="22.54"/>
    <x v="3"/>
  </r>
  <r>
    <s v="ORD-10525"/>
    <x v="236"/>
    <s v="Patricia Kim"/>
    <x v="1"/>
    <x v="10"/>
    <x v="3"/>
    <x v="0"/>
    <x v="1"/>
    <n v="2"/>
    <n v="131.68"/>
    <x v="0"/>
    <n v="263.36"/>
    <n v="10.63"/>
    <n v="107.88"/>
    <x v="2"/>
  </r>
  <r>
    <s v="ORD-11453"/>
    <x v="237"/>
    <s v="Patricia Martinez"/>
    <x v="2"/>
    <x v="11"/>
    <x v="2"/>
    <x v="1"/>
    <x v="19"/>
    <n v="3"/>
    <n v="12.07"/>
    <x v="2"/>
    <n v="30.78"/>
    <n v="17.690000000000001"/>
    <n v="-3.2"/>
    <x v="2"/>
  </r>
  <r>
    <s v="ORD-10489"/>
    <x v="238"/>
    <s v="Richard Moreau"/>
    <x v="0"/>
    <x v="11"/>
    <x v="2"/>
    <x v="2"/>
    <x v="34"/>
    <n v="2"/>
    <n v="50.05"/>
    <x v="6"/>
    <n v="75.069999999999993"/>
    <n v="12.65"/>
    <n v="2.36"/>
    <x v="1"/>
  </r>
  <r>
    <s v="ORD-10750"/>
    <x v="238"/>
    <s v="Hanna Kumar"/>
    <x v="1"/>
    <x v="12"/>
    <x v="4"/>
    <x v="1"/>
    <x v="12"/>
    <n v="3"/>
    <n v="21.94"/>
    <x v="4"/>
    <n v="62.53"/>
    <n v="17.25"/>
    <n v="15.66"/>
    <x v="0"/>
  </r>
  <r>
    <s v="ORD-10844"/>
    <x v="238"/>
    <s v="Jessica MÃ¼ller"/>
    <x v="2"/>
    <x v="8"/>
    <x v="1"/>
    <x v="3"/>
    <x v="27"/>
    <n v="5"/>
    <n v="68.42"/>
    <x v="3"/>
    <n v="307.89"/>
    <n v="11.72"/>
    <n v="125.12"/>
    <x v="1"/>
  </r>
  <r>
    <s v="ORD-11226"/>
    <x v="238"/>
    <s v="Sarah Li"/>
    <x v="1"/>
    <x v="6"/>
    <x v="2"/>
    <x v="2"/>
    <x v="21"/>
    <n v="5"/>
    <n v="85.91"/>
    <x v="4"/>
    <n v="408.07"/>
    <n v="19.75"/>
    <n v="130.59"/>
    <x v="2"/>
  </r>
  <r>
    <s v="ORD-11512"/>
    <x v="238"/>
    <s v="Ingrid Moreau"/>
    <x v="1"/>
    <x v="0"/>
    <x v="0"/>
    <x v="0"/>
    <x v="3"/>
    <n v="1"/>
    <n v="43.09"/>
    <x v="2"/>
    <n v="36.630000000000003"/>
    <n v="7.3"/>
    <n v="5.63"/>
    <x v="1"/>
  </r>
  <r>
    <s v="ORD-10606"/>
    <x v="239"/>
    <s v="Robert Taylor"/>
    <x v="2"/>
    <x v="18"/>
    <x v="4"/>
    <x v="2"/>
    <x v="4"/>
    <n v="1"/>
    <n v="184.6"/>
    <x v="4"/>
    <n v="175.37"/>
    <n v="11.24"/>
    <n v="53.37"/>
    <x v="1"/>
  </r>
  <r>
    <s v="ORD-11091"/>
    <x v="239"/>
    <s v="Layla Oliveira"/>
    <x v="2"/>
    <x v="3"/>
    <x v="1"/>
    <x v="2"/>
    <x v="4"/>
    <n v="11"/>
    <n v="272.86"/>
    <x v="3"/>
    <n v="2701.31"/>
    <n v="26.06"/>
    <n v="874.37"/>
    <x v="1"/>
  </r>
  <r>
    <s v="ORD-10561"/>
    <x v="240"/>
    <s v="Sophie Martinez"/>
    <x v="0"/>
    <x v="14"/>
    <x v="1"/>
    <x v="3"/>
    <x v="37"/>
    <n v="7"/>
    <n v="74.92"/>
    <x v="6"/>
    <n v="393.33"/>
    <n v="17.73"/>
    <n v="113.38"/>
    <x v="2"/>
  </r>
  <r>
    <s v="ORD-11357"/>
    <x v="240"/>
    <s v="Liam Davis"/>
    <x v="1"/>
    <x v="8"/>
    <x v="1"/>
    <x v="2"/>
    <x v="36"/>
    <n v="5"/>
    <n v="216.45"/>
    <x v="0"/>
    <n v="1082.25"/>
    <n v="16.23"/>
    <n v="416.67"/>
    <x v="3"/>
  </r>
  <r>
    <s v="ORD-11358"/>
    <x v="240"/>
    <s v="Christopher Thompson"/>
    <x v="1"/>
    <x v="10"/>
    <x v="3"/>
    <x v="2"/>
    <x v="5"/>
    <n v="3"/>
    <n v="82.78"/>
    <x v="4"/>
    <n v="235.92"/>
    <n v="13.57"/>
    <n v="73.349999999999994"/>
    <x v="1"/>
  </r>
  <r>
    <s v="ORD-11575"/>
    <x v="240"/>
    <s v="Olga MÃ¼ller"/>
    <x v="1"/>
    <x v="0"/>
    <x v="0"/>
    <x v="0"/>
    <x v="0"/>
    <n v="4"/>
    <n v="211.07"/>
    <x v="4"/>
    <n v="802.07"/>
    <n v="7.73"/>
    <n v="329.99"/>
    <x v="2"/>
  </r>
  <r>
    <s v="ORD-11946"/>
    <x v="240"/>
    <s v="James Harris"/>
    <x v="0"/>
    <x v="13"/>
    <x v="0"/>
    <x v="2"/>
    <x v="34"/>
    <n v="1"/>
    <n v="19.95"/>
    <x v="0"/>
    <n v="19.95"/>
    <n v="6.89"/>
    <n v="1.0900000000000001"/>
    <x v="1"/>
  </r>
  <r>
    <s v="ORD-10791"/>
    <x v="241"/>
    <s v="Maria Tanaka"/>
    <x v="0"/>
    <x v="11"/>
    <x v="2"/>
    <x v="2"/>
    <x v="34"/>
    <n v="4"/>
    <n v="37.67"/>
    <x v="3"/>
    <n v="135.61000000000001"/>
    <n v="15.83"/>
    <n v="29.37"/>
    <x v="2"/>
  </r>
  <r>
    <s v="ORD-11272"/>
    <x v="241"/>
    <s v="Isabella Li"/>
    <x v="1"/>
    <x v="19"/>
    <x v="1"/>
    <x v="1"/>
    <x v="12"/>
    <n v="3"/>
    <n v="24.08"/>
    <x v="0"/>
    <n v="72.239999999999995"/>
    <n v="8.67"/>
    <n v="31.06"/>
    <x v="2"/>
  </r>
  <r>
    <s v="ORD-11885"/>
    <x v="241"/>
    <s v="Kenji Romano"/>
    <x v="0"/>
    <x v="13"/>
    <x v="0"/>
    <x v="0"/>
    <x v="29"/>
    <n v="2"/>
    <n v="19.41"/>
    <x v="2"/>
    <n v="33"/>
    <n v="7.48"/>
    <n v="4.17"/>
    <x v="1"/>
  </r>
  <r>
    <s v="ORD-11093"/>
    <x v="242"/>
    <s v="Oscar Thompson"/>
    <x v="1"/>
    <x v="14"/>
    <x v="1"/>
    <x v="3"/>
    <x v="24"/>
    <n v="4"/>
    <n v="37.35"/>
    <x v="3"/>
    <n v="134.46"/>
    <n v="13.42"/>
    <n v="46.34"/>
    <x v="1"/>
  </r>
  <r>
    <s v="ORD-10455"/>
    <x v="243"/>
    <s v="Amir Park"/>
    <x v="1"/>
    <x v="11"/>
    <x v="2"/>
    <x v="1"/>
    <x v="23"/>
    <n v="2"/>
    <n v="18.53"/>
    <x v="2"/>
    <n v="31.5"/>
    <n v="15.09"/>
    <n v="-0.27"/>
    <x v="2"/>
  </r>
  <r>
    <s v="ORD-10568"/>
    <x v="243"/>
    <s v="Ethan Clark"/>
    <x v="1"/>
    <x v="16"/>
    <x v="3"/>
    <x v="1"/>
    <x v="12"/>
    <n v="1"/>
    <n v="20.54"/>
    <x v="4"/>
    <n v="19.510000000000002"/>
    <n v="9.89"/>
    <n v="0.38"/>
    <x v="3"/>
  </r>
  <r>
    <s v="ORD-11137"/>
    <x v="244"/>
    <s v="Barbara Weber"/>
    <x v="2"/>
    <x v="8"/>
    <x v="1"/>
    <x v="0"/>
    <x v="29"/>
    <n v="2"/>
    <n v="34.81"/>
    <x v="0"/>
    <n v="69.62"/>
    <n v="8.7200000000000006"/>
    <n v="22.61"/>
    <x v="1"/>
  </r>
  <r>
    <s v="ORD-10417"/>
    <x v="245"/>
    <s v="Susan Jackson"/>
    <x v="0"/>
    <x v="19"/>
    <x v="1"/>
    <x v="3"/>
    <x v="24"/>
    <n v="1"/>
    <n v="62.32"/>
    <x v="4"/>
    <n v="59.2"/>
    <n v="9.2799999999999994"/>
    <n v="18.760000000000002"/>
    <x v="2"/>
  </r>
  <r>
    <s v="ORD-11216"/>
    <x v="245"/>
    <s v="Maria Costa"/>
    <x v="0"/>
    <x v="15"/>
    <x v="2"/>
    <x v="1"/>
    <x v="2"/>
    <n v="3"/>
    <n v="9.4499999999999993"/>
    <x v="6"/>
    <n v="21.26"/>
    <n v="14.95"/>
    <n v="-6.45"/>
    <x v="2"/>
  </r>
  <r>
    <s v="ORD-11974"/>
    <x v="245"/>
    <s v="Joseph Chen"/>
    <x v="0"/>
    <x v="3"/>
    <x v="1"/>
    <x v="3"/>
    <x v="26"/>
    <n v="2"/>
    <n v="34.22"/>
    <x v="0"/>
    <n v="68.44"/>
    <n v="9.61"/>
    <n v="24.61"/>
    <x v="3"/>
  </r>
  <r>
    <s v="ORD-11062"/>
    <x v="246"/>
    <s v="Robert Clark"/>
    <x v="0"/>
    <x v="15"/>
    <x v="2"/>
    <x v="0"/>
    <x v="1"/>
    <n v="4"/>
    <n v="65.64"/>
    <x v="6"/>
    <n v="196.92"/>
    <n v="19.34"/>
    <n v="33.17"/>
    <x v="0"/>
  </r>
  <r>
    <s v="ORD-11417"/>
    <x v="246"/>
    <s v="Jessica Weber"/>
    <x v="2"/>
    <x v="6"/>
    <x v="2"/>
    <x v="3"/>
    <x v="27"/>
    <n v="3"/>
    <n v="38.42"/>
    <x v="0"/>
    <n v="115.26"/>
    <n v="18.100000000000001"/>
    <n v="39.53"/>
    <x v="1"/>
  </r>
  <r>
    <s v="ORD-11812"/>
    <x v="246"/>
    <s v="Liam Jones"/>
    <x v="1"/>
    <x v="16"/>
    <x v="3"/>
    <x v="0"/>
    <x v="18"/>
    <n v="1"/>
    <n v="46.22"/>
    <x v="2"/>
    <n v="39.29"/>
    <n v="10.54"/>
    <n v="3.33"/>
    <x v="1"/>
  </r>
  <r>
    <s v="ORD-10007"/>
    <x v="247"/>
    <s v="Li Sharma"/>
    <x v="1"/>
    <x v="4"/>
    <x v="2"/>
    <x v="0"/>
    <x v="1"/>
    <n v="3"/>
    <n v="146.85"/>
    <x v="3"/>
    <n v="396.49"/>
    <n v="15.07"/>
    <n v="139.12"/>
    <x v="2"/>
  </r>
  <r>
    <s v="ORD-10211"/>
    <x v="247"/>
    <s v="Sarah Tanaka"/>
    <x v="0"/>
    <x v="5"/>
    <x v="3"/>
    <x v="0"/>
    <x v="29"/>
    <n v="4"/>
    <n v="15.34"/>
    <x v="3"/>
    <n v="55.22"/>
    <n v="16.78"/>
    <n v="4.6900000000000004"/>
    <x v="2"/>
  </r>
  <r>
    <s v="ORD-11210"/>
    <x v="247"/>
    <s v="Susan Weber"/>
    <x v="0"/>
    <x v="1"/>
    <x v="1"/>
    <x v="1"/>
    <x v="12"/>
    <n v="2"/>
    <n v="22.13"/>
    <x v="6"/>
    <n v="33.200000000000003"/>
    <n v="8.4600000000000009"/>
    <n v="4.82"/>
    <x v="1"/>
  </r>
  <r>
    <s v="ORD-11245"/>
    <x v="247"/>
    <s v="Nadia Tanaka"/>
    <x v="0"/>
    <x v="3"/>
    <x v="1"/>
    <x v="0"/>
    <x v="31"/>
    <n v="5"/>
    <n v="68.150000000000006"/>
    <x v="1"/>
    <n v="272.60000000000002"/>
    <n v="12.18"/>
    <n v="73.010000000000005"/>
    <x v="1"/>
  </r>
  <r>
    <s v="ORD-11460"/>
    <x v="247"/>
    <s v="Sakura Rodriguez"/>
    <x v="0"/>
    <x v="0"/>
    <x v="0"/>
    <x v="2"/>
    <x v="8"/>
    <n v="1"/>
    <n v="129.24"/>
    <x v="1"/>
    <n v="103.39"/>
    <n v="5.96"/>
    <n v="19.89"/>
    <x v="1"/>
  </r>
  <r>
    <s v="ORD-11809"/>
    <x v="247"/>
    <s v="Michael Sato"/>
    <x v="0"/>
    <x v="9"/>
    <x v="3"/>
    <x v="3"/>
    <x v="11"/>
    <n v="1"/>
    <n v="82.52"/>
    <x v="1"/>
    <n v="66.02"/>
    <n v="9.64"/>
    <n v="15.12"/>
    <x v="0"/>
  </r>
  <r>
    <s v="ORD-10499"/>
    <x v="248"/>
    <s v="Felix MÃ¼ller"/>
    <x v="0"/>
    <x v="9"/>
    <x v="3"/>
    <x v="2"/>
    <x v="8"/>
    <n v="5"/>
    <n v="127.98"/>
    <x v="1"/>
    <n v="511.92"/>
    <n v="13.19"/>
    <n v="114.79"/>
    <x v="1"/>
  </r>
  <r>
    <s v="ORD-10579"/>
    <x v="249"/>
    <s v="Barbara Davis"/>
    <x v="2"/>
    <x v="19"/>
    <x v="1"/>
    <x v="0"/>
    <x v="7"/>
    <n v="9"/>
    <n v="33.479999999999997"/>
    <x v="3"/>
    <n v="271.19"/>
    <n v="12.56"/>
    <n v="92.9"/>
    <x v="0"/>
  </r>
  <r>
    <s v="ORD-11652"/>
    <x v="249"/>
    <s v="Lucas Suzuki"/>
    <x v="1"/>
    <x v="13"/>
    <x v="0"/>
    <x v="1"/>
    <x v="6"/>
    <n v="1"/>
    <n v="20.53"/>
    <x v="0"/>
    <n v="20.53"/>
    <n v="6.24"/>
    <n v="5.05"/>
    <x v="1"/>
  </r>
  <r>
    <s v="ORD-11261"/>
    <x v="250"/>
    <s v="Nadia Tanaka"/>
    <x v="0"/>
    <x v="12"/>
    <x v="4"/>
    <x v="2"/>
    <x v="39"/>
    <n v="7"/>
    <n v="151.91999999999999"/>
    <x v="2"/>
    <n v="903.92"/>
    <n v="23.57"/>
    <n v="242.29"/>
    <x v="1"/>
  </r>
  <r>
    <s v="ORD-11550"/>
    <x v="250"/>
    <s v="Linda Russo"/>
    <x v="1"/>
    <x v="9"/>
    <x v="3"/>
    <x v="0"/>
    <x v="22"/>
    <n v="3"/>
    <n v="108.96"/>
    <x v="3"/>
    <n v="294.19"/>
    <n v="14.91"/>
    <n v="99.5"/>
    <x v="2"/>
  </r>
  <r>
    <s v="ORD-11798"/>
    <x v="250"/>
    <s v="Thomas Rodriguez"/>
    <x v="0"/>
    <x v="12"/>
    <x v="4"/>
    <x v="1"/>
    <x v="2"/>
    <n v="7"/>
    <n v="11.09"/>
    <x v="3"/>
    <n v="69.87"/>
    <n v="22.14"/>
    <n v="12.8"/>
    <x v="1"/>
  </r>
  <r>
    <s v="ORD-10347"/>
    <x v="251"/>
    <s v="Ayumi Garcia"/>
    <x v="1"/>
    <x v="2"/>
    <x v="0"/>
    <x v="3"/>
    <x v="16"/>
    <n v="4"/>
    <n v="33.979999999999997"/>
    <x v="4"/>
    <n v="129.12"/>
    <n v="14.26"/>
    <n v="46.9"/>
    <x v="1"/>
  </r>
  <r>
    <s v="ORD-10429"/>
    <x v="251"/>
    <s v="Karen Robinson"/>
    <x v="2"/>
    <x v="5"/>
    <x v="3"/>
    <x v="0"/>
    <x v="35"/>
    <n v="11"/>
    <n v="52.9"/>
    <x v="0"/>
    <n v="581.9"/>
    <n v="17.52"/>
    <n v="244.33"/>
    <x v="3"/>
  </r>
  <r>
    <s v="ORD-10461"/>
    <x v="251"/>
    <s v="Elizabeth Fischer"/>
    <x v="0"/>
    <x v="13"/>
    <x v="0"/>
    <x v="0"/>
    <x v="29"/>
    <n v="2"/>
    <n v="33.200000000000003"/>
    <x v="0"/>
    <n v="66.400000000000006"/>
    <n v="8.8800000000000008"/>
    <n v="21"/>
    <x v="2"/>
  </r>
  <r>
    <s v="ORD-11069"/>
    <x v="252"/>
    <s v="Fatima Williams"/>
    <x v="1"/>
    <x v="7"/>
    <x v="4"/>
    <x v="1"/>
    <x v="12"/>
    <n v="5"/>
    <n v="18.760000000000002"/>
    <x v="2"/>
    <n v="79.73"/>
    <n v="18.239999999999998"/>
    <n v="19.28"/>
    <x v="0"/>
  </r>
  <r>
    <s v="ORD-10382"/>
    <x v="253"/>
    <s v="Layla Anderson"/>
    <x v="2"/>
    <x v="10"/>
    <x v="3"/>
    <x v="2"/>
    <x v="39"/>
    <n v="2"/>
    <n v="113.95"/>
    <x v="2"/>
    <n v="193.72"/>
    <n v="13.41"/>
    <n v="43.57"/>
    <x v="1"/>
  </r>
  <r>
    <s v="ORD-10530"/>
    <x v="253"/>
    <s v="Ali Li"/>
    <x v="0"/>
    <x v="3"/>
    <x v="1"/>
    <x v="0"/>
    <x v="22"/>
    <n v="2"/>
    <n v="81.19"/>
    <x v="4"/>
    <n v="154.26"/>
    <n v="10.33"/>
    <n v="54.62"/>
    <x v="2"/>
  </r>
  <r>
    <s v="ORD-10316"/>
    <x v="254"/>
    <s v="Fatima Kim"/>
    <x v="0"/>
    <x v="14"/>
    <x v="1"/>
    <x v="1"/>
    <x v="38"/>
    <n v="1"/>
    <n v="13.39"/>
    <x v="2"/>
    <n v="11.38"/>
    <n v="7.96"/>
    <n v="-2.61"/>
    <x v="1"/>
  </r>
  <r>
    <s v="ORD-10717"/>
    <x v="255"/>
    <s v="Elizabeth Johansson"/>
    <x v="1"/>
    <x v="18"/>
    <x v="4"/>
    <x v="2"/>
    <x v="36"/>
    <n v="5"/>
    <n v="183.81"/>
    <x v="6"/>
    <n v="689.29"/>
    <n v="20.65"/>
    <n v="117.21"/>
    <x v="1"/>
  </r>
  <r>
    <s v="ORD-11406"/>
    <x v="255"/>
    <s v="Sarah Suzuki"/>
    <x v="2"/>
    <x v="13"/>
    <x v="0"/>
    <x v="0"/>
    <x v="18"/>
    <n v="8"/>
    <n v="58.27"/>
    <x v="3"/>
    <n v="419.54"/>
    <n v="24.05"/>
    <n v="139.1"/>
    <x v="2"/>
  </r>
  <r>
    <s v="ORD-10478"/>
    <x v="256"/>
    <s v="Jamal Robinson"/>
    <x v="2"/>
    <x v="16"/>
    <x v="3"/>
    <x v="1"/>
    <x v="38"/>
    <n v="1"/>
    <n v="7.39"/>
    <x v="4"/>
    <n v="7.02"/>
    <n v="9.58"/>
    <n v="-5.89"/>
    <x v="2"/>
  </r>
  <r>
    <s v="ORD-10696"/>
    <x v="257"/>
    <s v="Susan Chen"/>
    <x v="0"/>
    <x v="5"/>
    <x v="3"/>
    <x v="0"/>
    <x v="28"/>
    <n v="2"/>
    <n v="38.06"/>
    <x v="4"/>
    <n v="72.31"/>
    <n v="10.58"/>
    <n v="19.86"/>
    <x v="1"/>
  </r>
  <r>
    <s v="ORD-11295"/>
    <x v="257"/>
    <s v="Kenji Martin"/>
    <x v="2"/>
    <x v="4"/>
    <x v="2"/>
    <x v="0"/>
    <x v="29"/>
    <n v="1"/>
    <n v="17.559999999999999"/>
    <x v="0"/>
    <n v="17.559999999999999"/>
    <n v="13.21"/>
    <n v="-5.31"/>
    <x v="1"/>
  </r>
  <r>
    <s v="ORD-11300"/>
    <x v="257"/>
    <s v="Zara Miller"/>
    <x v="1"/>
    <x v="8"/>
    <x v="1"/>
    <x v="0"/>
    <x v="22"/>
    <n v="3"/>
    <n v="145.72999999999999"/>
    <x v="3"/>
    <n v="393.47"/>
    <n v="9.99"/>
    <n v="143.03"/>
    <x v="3"/>
  </r>
  <r>
    <s v="ORD-10054"/>
    <x v="258"/>
    <s v="Diego Jones"/>
    <x v="0"/>
    <x v="5"/>
    <x v="3"/>
    <x v="3"/>
    <x v="24"/>
    <n v="1"/>
    <n v="30.54"/>
    <x v="3"/>
    <n v="27.49"/>
    <n v="10.33"/>
    <n v="1.89"/>
    <x v="2"/>
  </r>
  <r>
    <s v="ORD-10528"/>
    <x v="258"/>
    <s v="Fatima Brown"/>
    <x v="1"/>
    <x v="19"/>
    <x v="1"/>
    <x v="0"/>
    <x v="3"/>
    <n v="3"/>
    <n v="40.21"/>
    <x v="0"/>
    <n v="120.63"/>
    <n v="11.66"/>
    <n v="42.62"/>
    <x v="3"/>
  </r>
  <r>
    <s v="ORD-11038"/>
    <x v="258"/>
    <s v="Hanna Johnson"/>
    <x v="2"/>
    <x v="10"/>
    <x v="3"/>
    <x v="2"/>
    <x v="15"/>
    <n v="6"/>
    <n v="302.02999999999997"/>
    <x v="1"/>
    <n v="1449.74"/>
    <n v="13.81"/>
    <n v="348.62"/>
    <x v="0"/>
  </r>
  <r>
    <s v="ORD-11728"/>
    <x v="258"/>
    <s v="Ahmed Pereira"/>
    <x v="1"/>
    <x v="17"/>
    <x v="3"/>
    <x v="0"/>
    <x v="29"/>
    <n v="2"/>
    <n v="34.799999999999997"/>
    <x v="4"/>
    <n v="66.12"/>
    <n v="10.050000000000001"/>
    <n v="17.79"/>
    <x v="0"/>
  </r>
  <r>
    <s v="ORD-11949"/>
    <x v="258"/>
    <s v="Fatima Yamamoto"/>
    <x v="1"/>
    <x v="15"/>
    <x v="2"/>
    <x v="1"/>
    <x v="2"/>
    <n v="6"/>
    <n v="14.97"/>
    <x v="4"/>
    <n v="85.33"/>
    <n v="22.3"/>
    <n v="22.61"/>
    <x v="2"/>
  </r>
  <r>
    <s v="ORD-10811"/>
    <x v="259"/>
    <s v="Joseph Romano"/>
    <x v="1"/>
    <x v="12"/>
    <x v="4"/>
    <x v="0"/>
    <x v="3"/>
    <n v="1"/>
    <n v="83.28"/>
    <x v="0"/>
    <n v="83.28"/>
    <n v="12.13"/>
    <n v="25.35"/>
    <x v="1"/>
  </r>
  <r>
    <s v="ORD-11576"/>
    <x v="259"/>
    <s v="Sarah Sharma"/>
    <x v="1"/>
    <x v="19"/>
    <x v="1"/>
    <x v="0"/>
    <x v="31"/>
    <n v="7"/>
    <n v="95.46"/>
    <x v="4"/>
    <n v="634.80999999999995"/>
    <n v="20.14"/>
    <n v="247.15"/>
    <x v="0"/>
  </r>
  <r>
    <s v="ORD-10514"/>
    <x v="260"/>
    <s v="Linda Laurent"/>
    <x v="1"/>
    <x v="14"/>
    <x v="1"/>
    <x v="1"/>
    <x v="10"/>
    <n v="2"/>
    <n v="8.91"/>
    <x v="2"/>
    <n v="15.15"/>
    <n v="11.64"/>
    <n v="-4.51"/>
    <x v="2"/>
  </r>
  <r>
    <s v="ORD-10757"/>
    <x v="261"/>
    <s v="Ahmed Taylor"/>
    <x v="1"/>
    <x v="7"/>
    <x v="4"/>
    <x v="3"/>
    <x v="9"/>
    <n v="3"/>
    <n v="64.75"/>
    <x v="0"/>
    <n v="194.25"/>
    <n v="14.63"/>
    <n v="82.5"/>
    <x v="1"/>
  </r>
  <r>
    <s v="ORD-11470"/>
    <x v="261"/>
    <s v="Diego Robinson"/>
    <x v="0"/>
    <x v="5"/>
    <x v="3"/>
    <x v="2"/>
    <x v="8"/>
    <n v="4"/>
    <n v="127.45"/>
    <x v="2"/>
    <n v="433.33"/>
    <n v="12.43"/>
    <n v="115.02"/>
    <x v="1"/>
  </r>
  <r>
    <s v="ORD-10801"/>
    <x v="262"/>
    <s v="Ethan Wang"/>
    <x v="0"/>
    <x v="14"/>
    <x v="1"/>
    <x v="2"/>
    <x v="8"/>
    <n v="4"/>
    <n v="70.540000000000006"/>
    <x v="2"/>
    <n v="239.84"/>
    <n v="11.23"/>
    <n v="59.31"/>
    <x v="3"/>
  </r>
  <r>
    <s v="ORD-11903"/>
    <x v="262"/>
    <s v="Wei Smith"/>
    <x v="2"/>
    <x v="9"/>
    <x v="3"/>
    <x v="1"/>
    <x v="17"/>
    <n v="7"/>
    <n v="9.27"/>
    <x v="4"/>
    <n v="61.65"/>
    <n v="19.21"/>
    <n v="13.24"/>
    <x v="1"/>
  </r>
  <r>
    <s v="ORD-10043"/>
    <x v="263"/>
    <s v="Jennifer Kim"/>
    <x v="1"/>
    <x v="0"/>
    <x v="0"/>
    <x v="0"/>
    <x v="35"/>
    <n v="3"/>
    <n v="53.47"/>
    <x v="0"/>
    <n v="160.41"/>
    <n v="10.7"/>
    <n v="61.48"/>
    <x v="3"/>
  </r>
  <r>
    <s v="ORD-11109"/>
    <x v="263"/>
    <s v="Jessica Park"/>
    <x v="1"/>
    <x v="5"/>
    <x v="3"/>
    <x v="2"/>
    <x v="5"/>
    <n v="1"/>
    <n v="94.39"/>
    <x v="2"/>
    <n v="80.23"/>
    <n v="11.03"/>
    <n v="12.57"/>
    <x v="2"/>
  </r>
  <r>
    <s v="ORD-10753"/>
    <x v="264"/>
    <s v="Emma Jackson"/>
    <x v="1"/>
    <x v="0"/>
    <x v="0"/>
    <x v="0"/>
    <x v="31"/>
    <n v="1"/>
    <n v="187.3"/>
    <x v="4"/>
    <n v="177.94"/>
    <n v="6.98"/>
    <n v="67.94"/>
    <x v="1"/>
  </r>
  <r>
    <s v="ORD-10180"/>
    <x v="265"/>
    <s v="Zara Nilsson"/>
    <x v="1"/>
    <x v="13"/>
    <x v="0"/>
    <x v="2"/>
    <x v="5"/>
    <n v="2"/>
    <n v="163.55000000000001"/>
    <x v="0"/>
    <n v="327.10000000000002"/>
    <n v="6.02"/>
    <n v="124.82"/>
    <x v="1"/>
  </r>
  <r>
    <s v="ORD-11761"/>
    <x v="265"/>
    <s v="Oscar Thomas"/>
    <x v="1"/>
    <x v="17"/>
    <x v="3"/>
    <x v="3"/>
    <x v="30"/>
    <n v="1"/>
    <n v="22.15"/>
    <x v="0"/>
    <n v="22.15"/>
    <n v="10.89"/>
    <n v="0.18"/>
    <x v="3"/>
  </r>
  <r>
    <s v="ORD-10375"/>
    <x v="266"/>
    <s v="Priya Leroy"/>
    <x v="0"/>
    <x v="16"/>
    <x v="3"/>
    <x v="0"/>
    <x v="35"/>
    <n v="1"/>
    <n v="37.78"/>
    <x v="3"/>
    <n v="34"/>
    <n v="10.66"/>
    <n v="2.56"/>
    <x v="1"/>
  </r>
  <r>
    <s v="ORD-10795"/>
    <x v="266"/>
    <s v="Christopher Leroy"/>
    <x v="0"/>
    <x v="14"/>
    <x v="1"/>
    <x v="2"/>
    <x v="32"/>
    <n v="8"/>
    <n v="64.55"/>
    <x v="1"/>
    <n v="413.12"/>
    <n v="20.98"/>
    <n v="82.3"/>
    <x v="1"/>
  </r>
  <r>
    <s v="ORD-10362"/>
    <x v="267"/>
    <s v="Jennifer Romano"/>
    <x v="0"/>
    <x v="1"/>
    <x v="1"/>
    <x v="2"/>
    <x v="4"/>
    <n v="3"/>
    <n v="162.18"/>
    <x v="2"/>
    <n v="413.56"/>
    <n v="10.53"/>
    <n v="111.11"/>
    <x v="0"/>
  </r>
  <r>
    <s v="ORD-10350"/>
    <x v="268"/>
    <s v="Felix Laurent"/>
    <x v="0"/>
    <x v="13"/>
    <x v="0"/>
    <x v="0"/>
    <x v="18"/>
    <n v="1"/>
    <n v="40.47"/>
    <x v="4"/>
    <n v="38.450000000000003"/>
    <n v="6.75"/>
    <n v="9.44"/>
    <x v="1"/>
  </r>
  <r>
    <s v="ORD-12000"/>
    <x v="268"/>
    <s v="Raj Anderson"/>
    <x v="1"/>
    <x v="12"/>
    <x v="4"/>
    <x v="1"/>
    <x v="6"/>
    <n v="2"/>
    <n v="10.67"/>
    <x v="2"/>
    <n v="18.14"/>
    <n v="14.02"/>
    <n v="-5.48"/>
    <x v="1"/>
  </r>
  <r>
    <s v="ORD-10559"/>
    <x v="269"/>
    <s v="Fatima Patel"/>
    <x v="1"/>
    <x v="13"/>
    <x v="0"/>
    <x v="1"/>
    <x v="38"/>
    <n v="3"/>
    <n v="11.62"/>
    <x v="2"/>
    <n v="29.63"/>
    <n v="7.43"/>
    <n v="6.51"/>
    <x v="1"/>
  </r>
  <r>
    <s v="ORD-10725"/>
    <x v="269"/>
    <s v="Giulia Rossi"/>
    <x v="0"/>
    <x v="10"/>
    <x v="3"/>
    <x v="0"/>
    <x v="7"/>
    <n v="11"/>
    <n v="53.68"/>
    <x v="0"/>
    <n v="590.48"/>
    <n v="19.16"/>
    <n v="246.56"/>
    <x v="2"/>
  </r>
  <r>
    <s v="ORD-11713"/>
    <x v="270"/>
    <s v="Kenji Moreau"/>
    <x v="0"/>
    <x v="13"/>
    <x v="0"/>
    <x v="1"/>
    <x v="17"/>
    <n v="7"/>
    <n v="7.45"/>
    <x v="4"/>
    <n v="49.54"/>
    <n v="14.62"/>
    <n v="11.45"/>
    <x v="2"/>
  </r>
  <r>
    <s v="ORD-10932"/>
    <x v="271"/>
    <s v="Karen Khan"/>
    <x v="1"/>
    <x v="5"/>
    <x v="3"/>
    <x v="1"/>
    <x v="20"/>
    <n v="3"/>
    <n v="10.56"/>
    <x v="4"/>
    <n v="30.1"/>
    <n v="14.07"/>
    <n v="1.77"/>
    <x v="2"/>
  </r>
  <r>
    <s v="ORD-11566"/>
    <x v="271"/>
    <s v="Olga Thompson"/>
    <x v="1"/>
    <x v="7"/>
    <x v="4"/>
    <x v="0"/>
    <x v="29"/>
    <n v="2"/>
    <n v="53.62"/>
    <x v="0"/>
    <n v="107.24"/>
    <n v="11.75"/>
    <n v="36.51"/>
    <x v="3"/>
  </r>
  <r>
    <s v="ORD-10360"/>
    <x v="272"/>
    <s v="Wei Fischer"/>
    <x v="1"/>
    <x v="12"/>
    <x v="4"/>
    <x v="1"/>
    <x v="6"/>
    <n v="3"/>
    <n v="20.66"/>
    <x v="0"/>
    <n v="61.98"/>
    <n v="14.39"/>
    <n v="19.7"/>
    <x v="1"/>
  </r>
  <r>
    <s v="ORD-11833"/>
    <x v="272"/>
    <s v="Ali Romano"/>
    <x v="0"/>
    <x v="9"/>
    <x v="3"/>
    <x v="1"/>
    <x v="20"/>
    <n v="1"/>
    <n v="18.510000000000002"/>
    <x v="3"/>
    <n v="16.66"/>
    <n v="11.16"/>
    <n v="-2.83"/>
    <x v="2"/>
  </r>
  <r>
    <s v="ORD-11177"/>
    <x v="273"/>
    <s v="Omar Costa"/>
    <x v="0"/>
    <x v="0"/>
    <x v="0"/>
    <x v="2"/>
    <x v="15"/>
    <n v="1"/>
    <n v="209.98"/>
    <x v="4"/>
    <n v="199.48"/>
    <n v="7.19"/>
    <n v="66.3"/>
    <x v="2"/>
  </r>
  <r>
    <s v="ORD-10978"/>
    <x v="274"/>
    <s v="Diego Hassan"/>
    <x v="1"/>
    <x v="19"/>
    <x v="1"/>
    <x v="3"/>
    <x v="16"/>
    <n v="1"/>
    <n v="15.72"/>
    <x v="4"/>
    <n v="14.93"/>
    <n v="8.51"/>
    <n v="-1.44"/>
    <x v="2"/>
  </r>
  <r>
    <s v="ORD-10041"/>
    <x v="275"/>
    <s v="Xiao Rodriguez"/>
    <x v="2"/>
    <x v="3"/>
    <x v="1"/>
    <x v="0"/>
    <x v="35"/>
    <n v="2"/>
    <n v="29.09"/>
    <x v="4"/>
    <n v="55.27"/>
    <n v="9.82"/>
    <n v="13.45"/>
    <x v="1"/>
  </r>
  <r>
    <s v="ORD-10365"/>
    <x v="275"/>
    <s v="Ethan Khan"/>
    <x v="0"/>
    <x v="2"/>
    <x v="0"/>
    <x v="0"/>
    <x v="28"/>
    <n v="6"/>
    <n v="40.22"/>
    <x v="3"/>
    <n v="217.19"/>
    <n v="13.45"/>
    <n v="71.010000000000005"/>
    <x v="3"/>
  </r>
  <r>
    <s v="ORD-10524"/>
    <x v="275"/>
    <s v="Oscar Costa"/>
    <x v="1"/>
    <x v="8"/>
    <x v="1"/>
    <x v="1"/>
    <x v="12"/>
    <n v="2"/>
    <n v="9.1300000000000008"/>
    <x v="3"/>
    <n v="16.43"/>
    <n v="10.19"/>
    <n v="-1.98"/>
    <x v="1"/>
  </r>
  <r>
    <s v="ORD-11789"/>
    <x v="275"/>
    <s v="Jessica Hassan"/>
    <x v="0"/>
    <x v="3"/>
    <x v="1"/>
    <x v="1"/>
    <x v="20"/>
    <n v="1"/>
    <n v="15.28"/>
    <x v="3"/>
    <n v="13.75"/>
    <n v="9.42"/>
    <n v="-2.5499999999999998"/>
    <x v="3"/>
  </r>
  <r>
    <s v="ORD-10992"/>
    <x v="276"/>
    <s v="Linda Kumar"/>
    <x v="1"/>
    <x v="2"/>
    <x v="0"/>
    <x v="2"/>
    <x v="8"/>
    <n v="6"/>
    <n v="90.7"/>
    <x v="1"/>
    <n v="435.36"/>
    <n v="10.26"/>
    <n v="98.58"/>
    <x v="2"/>
  </r>
  <r>
    <s v="ORD-11555"/>
    <x v="276"/>
    <s v="Isabella Harris"/>
    <x v="1"/>
    <x v="7"/>
    <x v="4"/>
    <x v="0"/>
    <x v="35"/>
    <n v="5"/>
    <n v="24.47"/>
    <x v="0"/>
    <n v="122.35"/>
    <n v="17.010000000000002"/>
    <n v="38.049999999999997"/>
    <x v="1"/>
  </r>
  <r>
    <s v="ORD-11793"/>
    <x v="277"/>
    <s v="Joseph Suzuki"/>
    <x v="1"/>
    <x v="0"/>
    <x v="0"/>
    <x v="3"/>
    <x v="27"/>
    <n v="1"/>
    <n v="45.68"/>
    <x v="3"/>
    <n v="41.11"/>
    <n v="5.64"/>
    <n v="12.63"/>
    <x v="3"/>
  </r>
  <r>
    <s v="ORD-11111"/>
    <x v="278"/>
    <s v="Xiao Harris"/>
    <x v="1"/>
    <x v="5"/>
    <x v="3"/>
    <x v="1"/>
    <x v="6"/>
    <n v="2"/>
    <n v="9.14"/>
    <x v="0"/>
    <n v="18.28"/>
    <n v="11.84"/>
    <n v="-1.79"/>
    <x v="3"/>
  </r>
  <r>
    <s v="ORD-11488"/>
    <x v="278"/>
    <s v="Pierre Leroy"/>
    <x v="0"/>
    <x v="7"/>
    <x v="4"/>
    <x v="3"/>
    <x v="11"/>
    <n v="5"/>
    <n v="43.67"/>
    <x v="2"/>
    <n v="185.6"/>
    <n v="13.12"/>
    <n v="63.3"/>
    <x v="2"/>
  </r>
  <r>
    <s v="ORD-11497"/>
    <x v="279"/>
    <s v="Sarah Khan"/>
    <x v="1"/>
    <x v="1"/>
    <x v="1"/>
    <x v="2"/>
    <x v="39"/>
    <n v="4"/>
    <n v="182.4"/>
    <x v="3"/>
    <n v="656.64"/>
    <n v="9.07"/>
    <n v="209.81"/>
    <x v="2"/>
  </r>
  <r>
    <s v="ORD-11687"/>
    <x v="279"/>
    <s v="Zara Nilsson"/>
    <x v="0"/>
    <x v="17"/>
    <x v="3"/>
    <x v="1"/>
    <x v="17"/>
    <n v="3"/>
    <n v="9.44"/>
    <x v="3"/>
    <n v="25.49"/>
    <n v="16.13"/>
    <n v="-3.38"/>
    <x v="1"/>
  </r>
  <r>
    <s v="ORD-11505"/>
    <x v="280"/>
    <s v="Susan Leroy"/>
    <x v="1"/>
    <x v="18"/>
    <x v="4"/>
    <x v="1"/>
    <x v="6"/>
    <n v="1"/>
    <n v="8.8000000000000007"/>
    <x v="3"/>
    <n v="7.92"/>
    <n v="11.94"/>
    <n v="-7.98"/>
    <x v="3"/>
  </r>
  <r>
    <s v="ORD-10487"/>
    <x v="281"/>
    <s v="Christopher Khan"/>
    <x v="1"/>
    <x v="17"/>
    <x v="3"/>
    <x v="0"/>
    <x v="3"/>
    <n v="8"/>
    <n v="55.17"/>
    <x v="4"/>
    <n v="419.29"/>
    <n v="17.64"/>
    <n v="158.9"/>
    <x v="2"/>
  </r>
  <r>
    <s v="ORD-10677"/>
    <x v="281"/>
    <s v="Ivan Jones"/>
    <x v="0"/>
    <x v="2"/>
    <x v="0"/>
    <x v="2"/>
    <x v="4"/>
    <n v="4"/>
    <n v="336.19"/>
    <x v="6"/>
    <n v="1008.57"/>
    <n v="8.15"/>
    <n v="193.56"/>
    <x v="1"/>
  </r>
  <r>
    <s v="ORD-10044"/>
    <x v="282"/>
    <s v="Fatima Ferrari"/>
    <x v="0"/>
    <x v="9"/>
    <x v="3"/>
    <x v="3"/>
    <x v="27"/>
    <n v="8"/>
    <n v="48.93"/>
    <x v="3"/>
    <n v="352.3"/>
    <n v="27.53"/>
    <n v="129.05000000000001"/>
    <x v="1"/>
  </r>
  <r>
    <s v="ORD-11910"/>
    <x v="282"/>
    <s v="Amir Laurent"/>
    <x v="2"/>
    <x v="13"/>
    <x v="0"/>
    <x v="2"/>
    <x v="5"/>
    <n v="6"/>
    <n v="191.06"/>
    <x v="1"/>
    <n v="917.09"/>
    <n v="19.84"/>
    <n v="209.43"/>
    <x v="1"/>
  </r>
  <r>
    <s v="ORD-10288"/>
    <x v="283"/>
    <s v="Zara Leroy"/>
    <x v="0"/>
    <x v="9"/>
    <x v="3"/>
    <x v="2"/>
    <x v="36"/>
    <n v="4"/>
    <n v="112.46"/>
    <x v="4"/>
    <n v="427.35"/>
    <n v="18.440000000000001"/>
    <n v="139.01"/>
    <x v="1"/>
  </r>
  <r>
    <s v="ORD-11423"/>
    <x v="283"/>
    <s v="Felix Laurent"/>
    <x v="2"/>
    <x v="10"/>
    <x v="3"/>
    <x v="3"/>
    <x v="26"/>
    <n v="2"/>
    <n v="16.62"/>
    <x v="4"/>
    <n v="31.58"/>
    <n v="12.84"/>
    <n v="2.12"/>
    <x v="2"/>
  </r>
  <r>
    <s v="ORD-11442"/>
    <x v="283"/>
    <s v="Chen Nilsson"/>
    <x v="2"/>
    <x v="8"/>
    <x v="1"/>
    <x v="2"/>
    <x v="32"/>
    <n v="4"/>
    <n v="42.01"/>
    <x v="4"/>
    <n v="159.63999999999999"/>
    <n v="12.21"/>
    <n v="46.61"/>
    <x v="2"/>
  </r>
  <r>
    <s v="ORD-11827"/>
    <x v="283"/>
    <s v="Emma Sharma"/>
    <x v="1"/>
    <x v="2"/>
    <x v="0"/>
    <x v="2"/>
    <x v="32"/>
    <n v="2"/>
    <n v="43.95"/>
    <x v="1"/>
    <n v="70.319999999999993"/>
    <n v="6.77"/>
    <n v="10.81"/>
    <x v="1"/>
  </r>
  <r>
    <s v="ORD-11863"/>
    <x v="283"/>
    <s v="Isabella Rossi"/>
    <x v="2"/>
    <x v="13"/>
    <x v="0"/>
    <x v="2"/>
    <x v="15"/>
    <n v="5"/>
    <n v="233.71"/>
    <x v="0"/>
    <n v="1168.55"/>
    <n v="8.94"/>
    <n v="458.48"/>
    <x v="3"/>
  </r>
  <r>
    <s v="ORD-11904"/>
    <x v="284"/>
    <s v="Hans Martin"/>
    <x v="1"/>
    <x v="9"/>
    <x v="3"/>
    <x v="2"/>
    <x v="21"/>
    <n v="2"/>
    <n v="55.94"/>
    <x v="0"/>
    <n v="111.88"/>
    <n v="10.95"/>
    <n v="33.799999999999997"/>
    <x v="3"/>
  </r>
  <r>
    <s v="ORD-11346"/>
    <x v="285"/>
    <s v="Jennifer Santos"/>
    <x v="1"/>
    <x v="0"/>
    <x v="0"/>
    <x v="2"/>
    <x v="14"/>
    <n v="1"/>
    <n v="263.20999999999998"/>
    <x v="1"/>
    <n v="210.57"/>
    <n v="6.52"/>
    <n v="46.12"/>
    <x v="2"/>
  </r>
  <r>
    <s v="ORD-11661"/>
    <x v="285"/>
    <s v="Nadia Rossi"/>
    <x v="1"/>
    <x v="9"/>
    <x v="3"/>
    <x v="2"/>
    <x v="32"/>
    <n v="2"/>
    <n v="67.5"/>
    <x v="0"/>
    <n v="135"/>
    <n v="13.37"/>
    <n v="40.630000000000003"/>
    <x v="1"/>
  </r>
  <r>
    <s v="ORD-11944"/>
    <x v="285"/>
    <s v="John Ferrari"/>
    <x v="1"/>
    <x v="13"/>
    <x v="0"/>
    <x v="1"/>
    <x v="6"/>
    <n v="1"/>
    <n v="8.8699999999999992"/>
    <x v="0"/>
    <n v="8.8699999999999992"/>
    <n v="7.47"/>
    <n v="-2.59"/>
    <x v="2"/>
  </r>
  <r>
    <s v="ORD-10109"/>
    <x v="286"/>
    <s v="Thomas Ferrari"/>
    <x v="1"/>
    <x v="2"/>
    <x v="0"/>
    <x v="1"/>
    <x v="6"/>
    <n v="4"/>
    <n v="14.98"/>
    <x v="0"/>
    <n v="59.92"/>
    <n v="10.55"/>
    <n v="22.41"/>
    <x v="1"/>
  </r>
  <r>
    <s v="ORD-11117"/>
    <x v="286"/>
    <s v="Amina Jones"/>
    <x v="1"/>
    <x v="2"/>
    <x v="0"/>
    <x v="0"/>
    <x v="7"/>
    <n v="4"/>
    <n v="33.03"/>
    <x v="0"/>
    <n v="132.12"/>
    <n v="7.2"/>
    <n v="52.25"/>
    <x v="1"/>
  </r>
  <r>
    <s v="ORD-11316"/>
    <x v="286"/>
    <s v="Richard Yamamoto"/>
    <x v="1"/>
    <x v="11"/>
    <x v="2"/>
    <x v="2"/>
    <x v="32"/>
    <n v="3"/>
    <n v="66.28"/>
    <x v="0"/>
    <n v="198.84"/>
    <n v="16.2"/>
    <n v="63.34"/>
    <x v="2"/>
  </r>
  <r>
    <s v="ORD-11770"/>
    <x v="286"/>
    <s v="Lucas Li"/>
    <x v="0"/>
    <x v="17"/>
    <x v="3"/>
    <x v="2"/>
    <x v="14"/>
    <n v="3"/>
    <n v="216.54"/>
    <x v="0"/>
    <n v="649.62"/>
    <n v="16.39"/>
    <n v="243.46"/>
    <x v="1"/>
  </r>
  <r>
    <s v="ORD-10189"/>
    <x v="287"/>
    <s v="William Miller"/>
    <x v="0"/>
    <x v="17"/>
    <x v="3"/>
    <x v="1"/>
    <x v="6"/>
    <n v="4"/>
    <n v="17.57"/>
    <x v="2"/>
    <n v="59.74"/>
    <n v="18.73"/>
    <n v="9.3800000000000008"/>
    <x v="1"/>
  </r>
  <r>
    <s v="ORD-10779"/>
    <x v="287"/>
    <s v="Wei Hassan"/>
    <x v="0"/>
    <x v="17"/>
    <x v="3"/>
    <x v="3"/>
    <x v="11"/>
    <n v="2"/>
    <n v="68.14"/>
    <x v="6"/>
    <n v="102.21"/>
    <n v="10.95"/>
    <n v="23.12"/>
    <x v="1"/>
  </r>
  <r>
    <s v="ORD-11597"/>
    <x v="287"/>
    <s v="Olivia Laurent"/>
    <x v="1"/>
    <x v="13"/>
    <x v="0"/>
    <x v="1"/>
    <x v="38"/>
    <n v="1"/>
    <n v="9.23"/>
    <x v="0"/>
    <n v="9.23"/>
    <n v="6.44"/>
    <n v="-1.36"/>
    <x v="3"/>
  </r>
  <r>
    <s v="ORD-11641"/>
    <x v="287"/>
    <s v="Raj Khan"/>
    <x v="2"/>
    <x v="0"/>
    <x v="0"/>
    <x v="1"/>
    <x v="25"/>
    <n v="1"/>
    <n v="9.6"/>
    <x v="4"/>
    <n v="9.1199999999999992"/>
    <n v="5.52"/>
    <n v="-0.72"/>
    <x v="1"/>
  </r>
  <r>
    <s v="ORD-11708"/>
    <x v="287"/>
    <s v="Ava Garcia"/>
    <x v="1"/>
    <x v="2"/>
    <x v="0"/>
    <x v="3"/>
    <x v="11"/>
    <n v="2"/>
    <n v="57.77"/>
    <x v="4"/>
    <n v="109.76"/>
    <n v="9.89"/>
    <n v="42.1"/>
    <x v="1"/>
  </r>
  <r>
    <s v="ORD-11825"/>
    <x v="287"/>
    <s v="Wei Fischer"/>
    <x v="1"/>
    <x v="2"/>
    <x v="0"/>
    <x v="1"/>
    <x v="6"/>
    <n v="2"/>
    <n v="24.03"/>
    <x v="3"/>
    <n v="43.25"/>
    <n v="9.26"/>
    <n v="12.36"/>
    <x v="0"/>
  </r>
  <r>
    <s v="ORD-11891"/>
    <x v="287"/>
    <s v="Ayumi Kumar"/>
    <x v="0"/>
    <x v="2"/>
    <x v="0"/>
    <x v="3"/>
    <x v="30"/>
    <n v="3"/>
    <n v="21.32"/>
    <x v="2"/>
    <n v="54.37"/>
    <n v="7.01"/>
    <n v="15.38"/>
    <x v="1"/>
  </r>
  <r>
    <s v="ORD-10220"/>
    <x v="288"/>
    <s v="Elizabeth Weber"/>
    <x v="1"/>
    <x v="3"/>
    <x v="1"/>
    <x v="2"/>
    <x v="32"/>
    <n v="7"/>
    <n v="67.53"/>
    <x v="3"/>
    <n v="425.44"/>
    <n v="12.11"/>
    <n v="129.69999999999999"/>
    <x v="3"/>
  </r>
  <r>
    <s v="ORD-11953"/>
    <x v="288"/>
    <s v="Liam Costa"/>
    <x v="1"/>
    <x v="7"/>
    <x v="4"/>
    <x v="1"/>
    <x v="10"/>
    <n v="1"/>
    <n v="9.18"/>
    <x v="4"/>
    <n v="8.7200000000000006"/>
    <n v="11.53"/>
    <n v="-6.94"/>
    <x v="2"/>
  </r>
  <r>
    <s v="ORD-10183"/>
    <x v="289"/>
    <s v="Sarah Thompson"/>
    <x v="1"/>
    <x v="8"/>
    <x v="1"/>
    <x v="2"/>
    <x v="36"/>
    <n v="5"/>
    <n v="152.94999999999999"/>
    <x v="4"/>
    <n v="726.51"/>
    <n v="18.940000000000001"/>
    <n v="248.72"/>
    <x v="3"/>
  </r>
  <r>
    <s v="ORD-10488"/>
    <x v="289"/>
    <s v="Elizabeth Dubois"/>
    <x v="1"/>
    <x v="9"/>
    <x v="3"/>
    <x v="2"/>
    <x v="34"/>
    <n v="4"/>
    <n v="52.21"/>
    <x v="4"/>
    <n v="198.4"/>
    <n v="16.48"/>
    <n v="56.62"/>
    <x v="2"/>
  </r>
  <r>
    <s v="ORD-11110"/>
    <x v="289"/>
    <s v="Robert Dubois"/>
    <x v="0"/>
    <x v="0"/>
    <x v="0"/>
    <x v="0"/>
    <x v="28"/>
    <n v="1"/>
    <n v="58.09"/>
    <x v="2"/>
    <n v="49.38"/>
    <n v="6.23"/>
    <n v="11.2"/>
    <x v="3"/>
  </r>
  <r>
    <s v="ORD-11393"/>
    <x v="289"/>
    <s v="Liam Rossi"/>
    <x v="0"/>
    <x v="10"/>
    <x v="3"/>
    <x v="1"/>
    <x v="25"/>
    <n v="3"/>
    <n v="9.9600000000000009"/>
    <x v="2"/>
    <n v="25.4"/>
    <n v="15"/>
    <n v="-3.05"/>
    <x v="3"/>
  </r>
  <r>
    <s v="ORD-10632"/>
    <x v="290"/>
    <s v="David White"/>
    <x v="2"/>
    <x v="2"/>
    <x v="0"/>
    <x v="1"/>
    <x v="6"/>
    <n v="1"/>
    <n v="15.07"/>
    <x v="4"/>
    <n v="14.32"/>
    <n v="6.62"/>
    <n v="0.92"/>
    <x v="1"/>
  </r>
  <r>
    <s v="ORD-11262"/>
    <x v="290"/>
    <s v="Oscar Martinez"/>
    <x v="0"/>
    <x v="2"/>
    <x v="0"/>
    <x v="3"/>
    <x v="24"/>
    <n v="10"/>
    <n v="38.590000000000003"/>
    <x v="3"/>
    <n v="347.31"/>
    <n v="26.11"/>
    <n v="128.25"/>
    <x v="1"/>
  </r>
  <r>
    <s v="ORD-10199"/>
    <x v="291"/>
    <s v="Hans Robinson"/>
    <x v="1"/>
    <x v="13"/>
    <x v="0"/>
    <x v="1"/>
    <x v="23"/>
    <n v="5"/>
    <n v="16.649999999999999"/>
    <x v="4"/>
    <n v="79.09"/>
    <n v="8.6300000000000008"/>
    <n v="33"/>
    <x v="1"/>
  </r>
  <r>
    <s v="ORD-10454"/>
    <x v="291"/>
    <s v="Carlos Ali"/>
    <x v="1"/>
    <x v="13"/>
    <x v="0"/>
    <x v="1"/>
    <x v="12"/>
    <n v="1"/>
    <n v="10.81"/>
    <x v="3"/>
    <n v="9.73"/>
    <n v="5.77"/>
    <n v="-0.9"/>
    <x v="3"/>
  </r>
  <r>
    <s v="ORD-10658"/>
    <x v="291"/>
    <s v="Isabella Johansson"/>
    <x v="1"/>
    <x v="4"/>
    <x v="2"/>
    <x v="3"/>
    <x v="27"/>
    <n v="3"/>
    <n v="44.11"/>
    <x v="0"/>
    <n v="132.33000000000001"/>
    <n v="13.52"/>
    <n v="52.65"/>
    <x v="0"/>
  </r>
  <r>
    <s v="ORD-11649"/>
    <x v="291"/>
    <s v="Ava Li"/>
    <x v="0"/>
    <x v="12"/>
    <x v="4"/>
    <x v="1"/>
    <x v="10"/>
    <n v="3"/>
    <n v="6.13"/>
    <x v="4"/>
    <n v="17.47"/>
    <n v="16.059999999999999"/>
    <n v="-6.87"/>
    <x v="0"/>
  </r>
  <r>
    <s v="ORD-11811"/>
    <x v="291"/>
    <s v="Noah Chen"/>
    <x v="1"/>
    <x v="14"/>
    <x v="1"/>
    <x v="0"/>
    <x v="7"/>
    <n v="5"/>
    <n v="30.27"/>
    <x v="0"/>
    <n v="151.35"/>
    <n v="13.59"/>
    <n v="54.52"/>
    <x v="1"/>
  </r>
  <r>
    <s v="ORD-11847"/>
    <x v="291"/>
    <s v="Giulia Williams"/>
    <x v="0"/>
    <x v="8"/>
    <x v="1"/>
    <x v="3"/>
    <x v="37"/>
    <n v="3"/>
    <n v="43.37"/>
    <x v="2"/>
    <n v="110.59"/>
    <n v="14.43"/>
    <n v="31.11"/>
    <x v="3"/>
  </r>
  <r>
    <s v="ORD-11936"/>
    <x v="291"/>
    <s v="Wei Santos"/>
    <x v="1"/>
    <x v="10"/>
    <x v="3"/>
    <x v="3"/>
    <x v="13"/>
    <n v="3"/>
    <n v="126.07"/>
    <x v="0"/>
    <n v="378.21"/>
    <n v="16.14"/>
    <n v="172.96"/>
    <x v="3"/>
  </r>
  <r>
    <s v="ORD-11986"/>
    <x v="291"/>
    <s v="Sophie Miller"/>
    <x v="2"/>
    <x v="0"/>
    <x v="0"/>
    <x v="1"/>
    <x v="17"/>
    <n v="2"/>
    <n v="19.32"/>
    <x v="0"/>
    <n v="38.64"/>
    <n v="9.4700000000000006"/>
    <n v="11.78"/>
    <x v="2"/>
  </r>
  <r>
    <s v="ORD-11964"/>
    <x v="292"/>
    <s v="Linda Martin"/>
    <x v="1"/>
    <x v="0"/>
    <x v="0"/>
    <x v="2"/>
    <x v="21"/>
    <n v="3"/>
    <n v="47.08"/>
    <x v="3"/>
    <n v="127.12"/>
    <n v="11.82"/>
    <n v="30.56"/>
    <x v="3"/>
  </r>
  <r>
    <s v="ORD-11968"/>
    <x v="292"/>
    <s v="Karen Smith"/>
    <x v="1"/>
    <x v="1"/>
    <x v="1"/>
    <x v="2"/>
    <x v="39"/>
    <n v="5"/>
    <n v="109.55"/>
    <x v="3"/>
    <n v="492.98"/>
    <n v="16.350000000000001"/>
    <n v="147.97999999999999"/>
    <x v="1"/>
  </r>
  <r>
    <s v="ORD-10508"/>
    <x v="293"/>
    <s v="William Chen"/>
    <x v="1"/>
    <x v="19"/>
    <x v="1"/>
    <x v="0"/>
    <x v="3"/>
    <n v="4"/>
    <n v="32.24"/>
    <x v="4"/>
    <n v="122.51"/>
    <n v="13.12"/>
    <n v="38.46"/>
    <x v="2"/>
  </r>
  <r>
    <s v="ORD-11337"/>
    <x v="293"/>
    <s v="Diego Anderson"/>
    <x v="1"/>
    <x v="4"/>
    <x v="2"/>
    <x v="3"/>
    <x v="9"/>
    <n v="1"/>
    <n v="32.68"/>
    <x v="4"/>
    <n v="31.05"/>
    <n v="13.1"/>
    <n v="1.61"/>
    <x v="1"/>
  </r>
  <r>
    <s v="ORD-11463"/>
    <x v="294"/>
    <s v="Ingrid Zhang"/>
    <x v="0"/>
    <x v="10"/>
    <x v="3"/>
    <x v="0"/>
    <x v="1"/>
    <n v="8"/>
    <n v="85.21"/>
    <x v="2"/>
    <n v="579.42999999999995"/>
    <n v="13.75"/>
    <n v="190.76"/>
    <x v="2"/>
  </r>
  <r>
    <s v="ORD-11449"/>
    <x v="295"/>
    <s v="Giulia Johnson"/>
    <x v="0"/>
    <x v="16"/>
    <x v="3"/>
    <x v="0"/>
    <x v="0"/>
    <n v="3"/>
    <n v="166.63"/>
    <x v="0"/>
    <n v="499.89"/>
    <n v="14.84"/>
    <n v="210.11"/>
    <x v="3"/>
  </r>
  <r>
    <s v="ORD-10474"/>
    <x v="296"/>
    <s v="Kenji Schmidt"/>
    <x v="1"/>
    <x v="13"/>
    <x v="0"/>
    <x v="1"/>
    <x v="19"/>
    <n v="10"/>
    <n v="9.33"/>
    <x v="2"/>
    <n v="79.3"/>
    <n v="10.95"/>
    <n v="26.36"/>
    <x v="1"/>
  </r>
  <r>
    <s v="ORD-10495"/>
    <x v="296"/>
    <s v="Mary Laurent"/>
    <x v="1"/>
    <x v="13"/>
    <x v="0"/>
    <x v="3"/>
    <x v="30"/>
    <n v="5"/>
    <n v="8.1"/>
    <x v="1"/>
    <n v="32.4"/>
    <n v="16.7"/>
    <n v="-4.55"/>
    <x v="0"/>
  </r>
  <r>
    <s v="ORD-11233"/>
    <x v="296"/>
    <s v="Maria Miller"/>
    <x v="0"/>
    <x v="13"/>
    <x v="0"/>
    <x v="1"/>
    <x v="17"/>
    <n v="3"/>
    <n v="17.75"/>
    <x v="2"/>
    <n v="45.26"/>
    <n v="10.14"/>
    <n v="11.16"/>
    <x v="1"/>
  </r>
  <r>
    <s v="ORD-11248"/>
    <x v="296"/>
    <s v="Amina Taylor"/>
    <x v="2"/>
    <x v="14"/>
    <x v="1"/>
    <x v="2"/>
    <x v="8"/>
    <n v="4"/>
    <n v="59.95"/>
    <x v="4"/>
    <n v="227.81"/>
    <n v="13.86"/>
    <n v="70.069999999999993"/>
    <x v="2"/>
  </r>
  <r>
    <s v="ORD-11998"/>
    <x v="296"/>
    <s v="Zara Smith"/>
    <x v="0"/>
    <x v="0"/>
    <x v="0"/>
    <x v="1"/>
    <x v="10"/>
    <n v="4"/>
    <n v="3.66"/>
    <x v="1"/>
    <n v="11.71"/>
    <n v="13.72"/>
    <n v="-8.6"/>
    <x v="1"/>
  </r>
  <r>
    <s v="ORD-10126"/>
    <x v="297"/>
    <s v="Diego Thomas"/>
    <x v="1"/>
    <x v="4"/>
    <x v="2"/>
    <x v="3"/>
    <x v="9"/>
    <n v="6"/>
    <n v="64.86"/>
    <x v="1"/>
    <n v="311.33"/>
    <n v="25.84"/>
    <n v="90.91"/>
    <x v="2"/>
  </r>
  <r>
    <s v="ORD-11345"/>
    <x v="297"/>
    <s v="Isabella Johnson"/>
    <x v="1"/>
    <x v="6"/>
    <x v="2"/>
    <x v="2"/>
    <x v="21"/>
    <n v="4"/>
    <n v="94.69"/>
    <x v="3"/>
    <n v="340.88"/>
    <n v="14.7"/>
    <n v="98.92"/>
    <x v="1"/>
  </r>
  <r>
    <s v="ORD-11967"/>
    <x v="297"/>
    <s v="Elizabeth Harris"/>
    <x v="2"/>
    <x v="10"/>
    <x v="3"/>
    <x v="0"/>
    <x v="3"/>
    <n v="1"/>
    <n v="36.01"/>
    <x v="4"/>
    <n v="34.21"/>
    <n v="9.6999999999999993"/>
    <n v="4.7"/>
    <x v="1"/>
  </r>
  <r>
    <s v="ORD-10197"/>
    <x v="298"/>
    <s v="Sarah Rossi"/>
    <x v="1"/>
    <x v="2"/>
    <x v="0"/>
    <x v="1"/>
    <x v="38"/>
    <n v="1"/>
    <n v="6.89"/>
    <x v="2"/>
    <n v="5.86"/>
    <n v="6.74"/>
    <n v="-3.98"/>
    <x v="0"/>
  </r>
  <r>
    <s v="ORD-11579"/>
    <x v="298"/>
    <s v="Felix Davis"/>
    <x v="2"/>
    <x v="2"/>
    <x v="0"/>
    <x v="0"/>
    <x v="22"/>
    <n v="1"/>
    <n v="98.38"/>
    <x v="0"/>
    <n v="98.38"/>
    <n v="6.62"/>
    <n v="37.65"/>
    <x v="2"/>
  </r>
  <r>
    <s v="ORD-10237"/>
    <x v="299"/>
    <s v="Hans Rossi"/>
    <x v="2"/>
    <x v="17"/>
    <x v="3"/>
    <x v="0"/>
    <x v="29"/>
    <n v="5"/>
    <n v="27.72"/>
    <x v="4"/>
    <n v="131.66999999999999"/>
    <n v="17.420000000000002"/>
    <n v="38.020000000000003"/>
    <x v="3"/>
  </r>
  <r>
    <s v="ORD-10587"/>
    <x v="299"/>
    <s v="James Ferrari"/>
    <x v="1"/>
    <x v="7"/>
    <x v="4"/>
    <x v="2"/>
    <x v="14"/>
    <n v="3"/>
    <n v="371.61"/>
    <x v="2"/>
    <n v="947.61"/>
    <n v="15.39"/>
    <n v="263.32"/>
    <x v="1"/>
  </r>
  <r>
    <s v="ORD-10724"/>
    <x v="299"/>
    <s v="Joseph Martinez"/>
    <x v="1"/>
    <x v="16"/>
    <x v="3"/>
    <x v="2"/>
    <x v="15"/>
    <n v="2"/>
    <n v="288.74"/>
    <x v="1"/>
    <n v="461.98"/>
    <n v="11.82"/>
    <n v="103.67"/>
    <x v="3"/>
  </r>
  <r>
    <s v="ORD-10127"/>
    <x v="300"/>
    <s v="David Leroy"/>
    <x v="0"/>
    <x v="6"/>
    <x v="2"/>
    <x v="1"/>
    <x v="12"/>
    <n v="12"/>
    <n v="11.81"/>
    <x v="2"/>
    <n v="120.46"/>
    <n v="22.68"/>
    <n v="34.01"/>
    <x v="2"/>
  </r>
  <r>
    <s v="ORD-10230"/>
    <x v="300"/>
    <s v="Ava Yamamoto"/>
    <x v="0"/>
    <x v="17"/>
    <x v="3"/>
    <x v="0"/>
    <x v="18"/>
    <n v="3"/>
    <n v="67.73"/>
    <x v="3"/>
    <n v="182.87"/>
    <n v="11.07"/>
    <n v="60.05"/>
    <x v="1"/>
  </r>
  <r>
    <s v="ORD-10318"/>
    <x v="300"/>
    <s v="Priya Costa"/>
    <x v="0"/>
    <x v="16"/>
    <x v="3"/>
    <x v="2"/>
    <x v="36"/>
    <n v="4"/>
    <n v="166.71"/>
    <x v="1"/>
    <n v="533.47"/>
    <n v="15.13"/>
    <n v="118.24"/>
    <x v="1"/>
  </r>
  <r>
    <s v="ORD-10827"/>
    <x v="301"/>
    <s v="Priya Martin"/>
    <x v="2"/>
    <x v="2"/>
    <x v="0"/>
    <x v="0"/>
    <x v="29"/>
    <n v="1"/>
    <n v="41.24"/>
    <x v="3"/>
    <n v="37.119999999999997"/>
    <n v="5.87"/>
    <n v="8.57"/>
    <x v="2"/>
  </r>
  <r>
    <s v="ORD-11663"/>
    <x v="301"/>
    <s v="Olivia Patel"/>
    <x v="2"/>
    <x v="19"/>
    <x v="1"/>
    <x v="0"/>
    <x v="22"/>
    <n v="5"/>
    <n v="81.099999999999994"/>
    <x v="3"/>
    <n v="364.95"/>
    <n v="17.850000000000001"/>
    <n v="124.07"/>
    <x v="1"/>
  </r>
  <r>
    <s v="ORD-10149"/>
    <x v="302"/>
    <s v="Barbara Sharma"/>
    <x v="0"/>
    <x v="8"/>
    <x v="1"/>
    <x v="2"/>
    <x v="5"/>
    <n v="1"/>
    <n v="190.75"/>
    <x v="1"/>
    <n v="152.6"/>
    <n v="9.08"/>
    <n v="29.07"/>
    <x v="1"/>
  </r>
  <r>
    <s v="ORD-11020"/>
    <x v="302"/>
    <s v="Liam Romano"/>
    <x v="2"/>
    <x v="19"/>
    <x v="1"/>
    <x v="0"/>
    <x v="7"/>
    <n v="1"/>
    <n v="69.13"/>
    <x v="2"/>
    <n v="58.76"/>
    <n v="7.83"/>
    <n v="12.91"/>
    <x v="1"/>
  </r>
  <r>
    <s v="ORD-10218"/>
    <x v="303"/>
    <s v="Olga Davis"/>
    <x v="1"/>
    <x v="17"/>
    <x v="3"/>
    <x v="0"/>
    <x v="28"/>
    <n v="1"/>
    <n v="51.57"/>
    <x v="1"/>
    <n v="41.26"/>
    <n v="10.55"/>
    <n v="2.35"/>
    <x v="3"/>
  </r>
  <r>
    <s v="ORD-10409"/>
    <x v="303"/>
    <s v="Noah Ali"/>
    <x v="1"/>
    <x v="9"/>
    <x v="3"/>
    <x v="0"/>
    <x v="3"/>
    <n v="3"/>
    <n v="85.34"/>
    <x v="4"/>
    <n v="243.22"/>
    <n v="10.71"/>
    <n v="91.7"/>
    <x v="1"/>
  </r>
  <r>
    <s v="ORD-10439"/>
    <x v="303"/>
    <s v="Ayumi Tanaka"/>
    <x v="0"/>
    <x v="7"/>
    <x v="4"/>
    <x v="1"/>
    <x v="2"/>
    <n v="4"/>
    <n v="11.72"/>
    <x v="4"/>
    <n v="44.54"/>
    <n v="14.16"/>
    <n v="9.2799999999999994"/>
    <x v="3"/>
  </r>
  <r>
    <s v="ORD-10591"/>
    <x v="303"/>
    <s v="Isabella Anderson"/>
    <x v="0"/>
    <x v="16"/>
    <x v="3"/>
    <x v="0"/>
    <x v="28"/>
    <n v="1"/>
    <n v="53.57"/>
    <x v="6"/>
    <n v="40.18"/>
    <n v="11.21"/>
    <n v="-0.49"/>
    <x v="0"/>
  </r>
  <r>
    <s v="ORD-10825"/>
    <x v="303"/>
    <s v="Raj Singh"/>
    <x v="1"/>
    <x v="16"/>
    <x v="3"/>
    <x v="1"/>
    <x v="10"/>
    <n v="2"/>
    <n v="8.93"/>
    <x v="0"/>
    <n v="17.86"/>
    <n v="10.039999999999999"/>
    <n v="-0.22"/>
    <x v="1"/>
  </r>
  <r>
    <s v="ORD-11187"/>
    <x v="303"/>
    <s v="Ali Weber"/>
    <x v="0"/>
    <x v="5"/>
    <x v="3"/>
    <x v="3"/>
    <x v="24"/>
    <n v="5"/>
    <n v="57.59"/>
    <x v="4"/>
    <n v="273.55"/>
    <n v="16.190000000000001"/>
    <n v="113.38"/>
    <x v="2"/>
  </r>
  <r>
    <s v="ORD-11830"/>
    <x v="303"/>
    <s v="John Miller"/>
    <x v="2"/>
    <x v="13"/>
    <x v="0"/>
    <x v="0"/>
    <x v="29"/>
    <n v="3"/>
    <n v="25.88"/>
    <x v="2"/>
    <n v="65.989999999999995"/>
    <n v="6.99"/>
    <n v="16.3"/>
    <x v="1"/>
  </r>
  <r>
    <s v="ORD-11418"/>
    <x v="304"/>
    <s v="Ahmed Jackson"/>
    <x v="1"/>
    <x v="12"/>
    <x v="4"/>
    <x v="2"/>
    <x v="21"/>
    <n v="2"/>
    <n v="85.83"/>
    <x v="2"/>
    <n v="145.91"/>
    <n v="13.6"/>
    <n v="29.31"/>
    <x v="2"/>
  </r>
  <r>
    <s v="ORD-11457"/>
    <x v="304"/>
    <s v="Hanna Dubois"/>
    <x v="0"/>
    <x v="10"/>
    <x v="3"/>
    <x v="2"/>
    <x v="5"/>
    <n v="2"/>
    <n v="139.66999999999999"/>
    <x v="2"/>
    <n v="237.44"/>
    <n v="13.84"/>
    <n v="56"/>
    <x v="1"/>
  </r>
  <r>
    <s v="ORD-11996"/>
    <x v="304"/>
    <s v="Priya Li"/>
    <x v="1"/>
    <x v="7"/>
    <x v="4"/>
    <x v="1"/>
    <x v="38"/>
    <n v="5"/>
    <n v="8.83"/>
    <x v="0"/>
    <n v="44.15"/>
    <n v="19.010000000000002"/>
    <n v="5.27"/>
    <x v="3"/>
  </r>
  <r>
    <s v="ORD-11147"/>
    <x v="305"/>
    <s v="Priya Johansson"/>
    <x v="1"/>
    <x v="17"/>
    <x v="3"/>
    <x v="2"/>
    <x v="39"/>
    <n v="1"/>
    <n v="172.7"/>
    <x v="0"/>
    <n v="172.7"/>
    <n v="11.33"/>
    <n v="57.75"/>
    <x v="3"/>
  </r>
  <r>
    <s v="ORD-11437"/>
    <x v="306"/>
    <s v="Sarah Johnson"/>
    <x v="1"/>
    <x v="14"/>
    <x v="1"/>
    <x v="2"/>
    <x v="5"/>
    <n v="1"/>
    <n v="162.05000000000001"/>
    <x v="4"/>
    <n v="153.94999999999999"/>
    <n v="9.3800000000000008"/>
    <n v="47.34"/>
    <x v="2"/>
  </r>
  <r>
    <s v="ORD-10010"/>
    <x v="307"/>
    <s v="James Li"/>
    <x v="2"/>
    <x v="2"/>
    <x v="0"/>
    <x v="0"/>
    <x v="22"/>
    <n v="3"/>
    <n v="135.75"/>
    <x v="0"/>
    <n v="407.25"/>
    <n v="8.74"/>
    <n v="174.52"/>
    <x v="1"/>
  </r>
  <r>
    <s v="ORD-11510"/>
    <x v="307"/>
    <s v="Olga Pereira"/>
    <x v="1"/>
    <x v="3"/>
    <x v="1"/>
    <x v="3"/>
    <x v="27"/>
    <n v="2"/>
    <n v="50.45"/>
    <x v="0"/>
    <n v="100.9"/>
    <n v="10.54"/>
    <n v="39.909999999999997"/>
    <x v="2"/>
  </r>
  <r>
    <s v="ORD-10052"/>
    <x v="308"/>
    <s v="Ali Miller"/>
    <x v="2"/>
    <x v="13"/>
    <x v="0"/>
    <x v="1"/>
    <x v="20"/>
    <n v="11"/>
    <n v="9.84"/>
    <x v="3"/>
    <n v="97.42"/>
    <n v="25.84"/>
    <n v="22.87"/>
    <x v="1"/>
  </r>
  <r>
    <s v="ORD-10430"/>
    <x v="309"/>
    <s v="Chen Johansson"/>
    <x v="0"/>
    <x v="7"/>
    <x v="4"/>
    <x v="2"/>
    <x v="14"/>
    <n v="1"/>
    <n v="246.96"/>
    <x v="3"/>
    <n v="222.26"/>
    <n v="10.51"/>
    <n v="63.57"/>
    <x v="2"/>
  </r>
  <r>
    <s v="ORD-11467"/>
    <x v="309"/>
    <s v="Jamal Patel"/>
    <x v="1"/>
    <x v="8"/>
    <x v="1"/>
    <x v="1"/>
    <x v="23"/>
    <n v="2"/>
    <n v="17.170000000000002"/>
    <x v="4"/>
    <n v="32.619999999999997"/>
    <n v="10.14"/>
    <n v="7.03"/>
    <x v="3"/>
  </r>
  <r>
    <s v="ORD-11720"/>
    <x v="309"/>
    <s v="Diego Nilsson"/>
    <x v="1"/>
    <x v="3"/>
    <x v="1"/>
    <x v="1"/>
    <x v="23"/>
    <n v="1"/>
    <n v="11.89"/>
    <x v="0"/>
    <n v="11.89"/>
    <n v="7.53"/>
    <n v="-0.99"/>
    <x v="3"/>
  </r>
  <r>
    <s v="ORD-10673"/>
    <x v="310"/>
    <s v="Jessica Kim"/>
    <x v="0"/>
    <x v="18"/>
    <x v="4"/>
    <x v="1"/>
    <x v="6"/>
    <n v="5"/>
    <n v="17.43"/>
    <x v="0"/>
    <n v="87.15"/>
    <n v="13.79"/>
    <n v="34.14"/>
    <x v="1"/>
  </r>
  <r>
    <s v="ORD-10709"/>
    <x v="311"/>
    <s v="Olga Ahmed"/>
    <x v="1"/>
    <x v="3"/>
    <x v="1"/>
    <x v="3"/>
    <x v="33"/>
    <n v="3"/>
    <n v="22.55"/>
    <x v="3"/>
    <n v="60.89"/>
    <n v="12.39"/>
    <n v="14.67"/>
    <x v="1"/>
  </r>
  <r>
    <s v="ORD-10323"/>
    <x v="312"/>
    <s v="Hans Costa"/>
    <x v="1"/>
    <x v="2"/>
    <x v="0"/>
    <x v="2"/>
    <x v="5"/>
    <n v="2"/>
    <n v="161.38999999999999"/>
    <x v="4"/>
    <n v="306.64"/>
    <n v="8.36"/>
    <n v="104.61"/>
    <x v="1"/>
  </r>
  <r>
    <s v="ORD-10650"/>
    <x v="312"/>
    <s v="Carlos Ahmed"/>
    <x v="1"/>
    <x v="13"/>
    <x v="0"/>
    <x v="0"/>
    <x v="29"/>
    <n v="1"/>
    <n v="47.57"/>
    <x v="0"/>
    <n v="47.57"/>
    <n v="5.87"/>
    <n v="15.54"/>
    <x v="3"/>
  </r>
  <r>
    <s v="ORD-10718"/>
    <x v="312"/>
    <s v="Ivan Li"/>
    <x v="1"/>
    <x v="0"/>
    <x v="0"/>
    <x v="2"/>
    <x v="14"/>
    <n v="4"/>
    <n v="259.86"/>
    <x v="4"/>
    <n v="987.47"/>
    <n v="13.35"/>
    <n v="350.46"/>
    <x v="1"/>
  </r>
  <r>
    <s v="ORD-10962"/>
    <x v="313"/>
    <s v="Ayumi Suzuki"/>
    <x v="0"/>
    <x v="7"/>
    <x v="4"/>
    <x v="3"/>
    <x v="30"/>
    <n v="6"/>
    <n v="12.29"/>
    <x v="4"/>
    <n v="70.05"/>
    <n v="13.2"/>
    <n v="19.98"/>
    <x v="3"/>
  </r>
  <r>
    <s v="ORD-11993"/>
    <x v="313"/>
    <s v="Hanna Taylor"/>
    <x v="2"/>
    <x v="2"/>
    <x v="0"/>
    <x v="2"/>
    <x v="15"/>
    <n v="3"/>
    <n v="192.53"/>
    <x v="0"/>
    <n v="577.59"/>
    <n v="10.09"/>
    <n v="220.95"/>
    <x v="1"/>
  </r>
  <r>
    <s v="ORD-10925"/>
    <x v="314"/>
    <s v="Linda MÃ¼ller"/>
    <x v="0"/>
    <x v="13"/>
    <x v="0"/>
    <x v="1"/>
    <x v="19"/>
    <n v="4"/>
    <n v="6.51"/>
    <x v="4"/>
    <n v="24.74"/>
    <n v="14.84"/>
    <n v="-1.82"/>
    <x v="1"/>
  </r>
  <r>
    <s v="ORD-11362"/>
    <x v="314"/>
    <s v="Priya Smith"/>
    <x v="1"/>
    <x v="1"/>
    <x v="1"/>
    <x v="0"/>
    <x v="35"/>
    <n v="1"/>
    <n v="32.020000000000003"/>
    <x v="4"/>
    <n v="30.42"/>
    <n v="8.2799999999999994"/>
    <n v="4.53"/>
    <x v="0"/>
  </r>
  <r>
    <s v="ORD-11372"/>
    <x v="314"/>
    <s v="William Ahmed"/>
    <x v="2"/>
    <x v="2"/>
    <x v="0"/>
    <x v="0"/>
    <x v="0"/>
    <n v="2"/>
    <n v="155.87"/>
    <x v="2"/>
    <n v="264.98"/>
    <n v="6.43"/>
    <n v="87.09"/>
    <x v="2"/>
  </r>
  <r>
    <s v="ORD-11551"/>
    <x v="315"/>
    <s v="Nadia Martin"/>
    <x v="2"/>
    <x v="5"/>
    <x v="3"/>
    <x v="0"/>
    <x v="35"/>
    <n v="5"/>
    <n v="62.1"/>
    <x v="0"/>
    <n v="310.5"/>
    <n v="11.64"/>
    <n v="128.08000000000001"/>
    <x v="3"/>
  </r>
  <r>
    <s v="ORD-10476"/>
    <x v="316"/>
    <s v="Jennifer Khan"/>
    <x v="0"/>
    <x v="19"/>
    <x v="1"/>
    <x v="1"/>
    <x v="17"/>
    <n v="1"/>
    <n v="21.65"/>
    <x v="3"/>
    <n v="19.48"/>
    <n v="9.4499999999999993"/>
    <n v="0.28999999999999998"/>
    <x v="2"/>
  </r>
  <r>
    <s v="ORD-11431"/>
    <x v="316"/>
    <s v="Karen Wang"/>
    <x v="2"/>
    <x v="7"/>
    <x v="4"/>
    <x v="3"/>
    <x v="37"/>
    <n v="1"/>
    <n v="21.54"/>
    <x v="2"/>
    <n v="18.309999999999999"/>
    <n v="12.49"/>
    <n v="-4.95"/>
    <x v="1"/>
  </r>
  <r>
    <s v="ORD-11861"/>
    <x v="316"/>
    <s v="Maria Khan"/>
    <x v="2"/>
    <x v="15"/>
    <x v="2"/>
    <x v="0"/>
    <x v="22"/>
    <n v="2"/>
    <n v="75.67"/>
    <x v="0"/>
    <n v="151.34"/>
    <n v="12.13"/>
    <n v="55.97"/>
    <x v="1"/>
  </r>
  <r>
    <s v="ORD-11992"/>
    <x v="316"/>
    <s v="Olivia Miller"/>
    <x v="1"/>
    <x v="2"/>
    <x v="0"/>
    <x v="3"/>
    <x v="27"/>
    <n v="6"/>
    <n v="51.47"/>
    <x v="1"/>
    <n v="247.06"/>
    <n v="17.98"/>
    <n v="74.67"/>
    <x v="3"/>
  </r>
  <r>
    <s v="ORD-10152"/>
    <x v="317"/>
    <s v="Ivan Dubois"/>
    <x v="1"/>
    <x v="8"/>
    <x v="1"/>
    <x v="2"/>
    <x v="39"/>
    <n v="2"/>
    <n v="81.16"/>
    <x v="4"/>
    <n v="154.19999999999999"/>
    <n v="9.07"/>
    <n v="47.74"/>
    <x v="1"/>
  </r>
  <r>
    <s v="ORD-10672"/>
    <x v="317"/>
    <s v="Thomas Miller"/>
    <x v="1"/>
    <x v="16"/>
    <x v="3"/>
    <x v="1"/>
    <x v="2"/>
    <n v="3"/>
    <n v="11.12"/>
    <x v="2"/>
    <n v="28.36"/>
    <n v="13.43"/>
    <n v="-0.08"/>
    <x v="2"/>
  </r>
  <r>
    <s v="ORD-10880"/>
    <x v="318"/>
    <s v="Barbara Davis"/>
    <x v="2"/>
    <x v="0"/>
    <x v="0"/>
    <x v="1"/>
    <x v="6"/>
    <n v="5"/>
    <n v="21.03"/>
    <x v="0"/>
    <n v="105.15"/>
    <n v="11.25"/>
    <n v="46.58"/>
    <x v="1"/>
  </r>
  <r>
    <s v="ORD-11107"/>
    <x v="318"/>
    <s v="Ayumi Martinez"/>
    <x v="1"/>
    <x v="15"/>
    <x v="2"/>
    <x v="2"/>
    <x v="21"/>
    <n v="7"/>
    <n v="34.67"/>
    <x v="3"/>
    <n v="218.42"/>
    <n v="22.52"/>
    <n v="50.29"/>
    <x v="3"/>
  </r>
  <r>
    <s v="ORD-11424"/>
    <x v="319"/>
    <s v="Felix Taylor"/>
    <x v="2"/>
    <x v="2"/>
    <x v="0"/>
    <x v="1"/>
    <x v="38"/>
    <n v="2"/>
    <n v="11.84"/>
    <x v="3"/>
    <n v="21.31"/>
    <n v="9.8699999999999992"/>
    <n v="0.78"/>
    <x v="1"/>
  </r>
  <r>
    <s v="ORD-11592"/>
    <x v="319"/>
    <s v="Mia Clark"/>
    <x v="1"/>
    <x v="9"/>
    <x v="3"/>
    <x v="0"/>
    <x v="18"/>
    <n v="4"/>
    <n v="27.55"/>
    <x v="1"/>
    <n v="88.16"/>
    <n v="14.39"/>
    <n v="13.16"/>
    <x v="3"/>
  </r>
  <r>
    <s v="ORD-10695"/>
    <x v="320"/>
    <s v="William Kim"/>
    <x v="1"/>
    <x v="16"/>
    <x v="3"/>
    <x v="1"/>
    <x v="10"/>
    <n v="1"/>
    <n v="9.9600000000000009"/>
    <x v="2"/>
    <n v="8.4700000000000006"/>
    <n v="9.9"/>
    <n v="-5.91"/>
    <x v="3"/>
  </r>
  <r>
    <s v="ORD-10116"/>
    <x v="321"/>
    <s v="Ivan Smith"/>
    <x v="0"/>
    <x v="13"/>
    <x v="0"/>
    <x v="0"/>
    <x v="3"/>
    <n v="3"/>
    <n v="34.06"/>
    <x v="3"/>
    <n v="91.96"/>
    <n v="12.43"/>
    <n v="23.33"/>
    <x v="2"/>
  </r>
  <r>
    <s v="ORD-10775"/>
    <x v="321"/>
    <s v="Susan Zhang"/>
    <x v="1"/>
    <x v="13"/>
    <x v="0"/>
    <x v="2"/>
    <x v="21"/>
    <n v="2"/>
    <n v="61.68"/>
    <x v="1"/>
    <n v="98.69"/>
    <n v="6.34"/>
    <n v="18.329999999999998"/>
    <x v="2"/>
  </r>
  <r>
    <s v="ORD-11033"/>
    <x v="321"/>
    <s v="Yuki Chen"/>
    <x v="1"/>
    <x v="5"/>
    <x v="3"/>
    <x v="1"/>
    <x v="19"/>
    <n v="4"/>
    <n v="5.79"/>
    <x v="3"/>
    <n v="20.84"/>
    <n v="15.81"/>
    <n v="-5.39"/>
    <x v="2"/>
  </r>
  <r>
    <s v="ORD-10866"/>
    <x v="322"/>
    <s v="Jamal Jones"/>
    <x v="2"/>
    <x v="2"/>
    <x v="0"/>
    <x v="0"/>
    <x v="35"/>
    <n v="1"/>
    <n v="36.549999999999997"/>
    <x v="4"/>
    <n v="34.72"/>
    <n v="5.81"/>
    <n v="8.81"/>
    <x v="1"/>
  </r>
  <r>
    <s v="ORD-11159"/>
    <x v="322"/>
    <s v="James Kumar"/>
    <x v="0"/>
    <x v="2"/>
    <x v="0"/>
    <x v="0"/>
    <x v="18"/>
    <n v="4"/>
    <n v="35.549999999999997"/>
    <x v="4"/>
    <n v="135.09"/>
    <n v="11.22"/>
    <n v="45.66"/>
    <x v="1"/>
  </r>
  <r>
    <s v="ORD-10471"/>
    <x v="323"/>
    <s v="Zara MÃ¼ller"/>
    <x v="0"/>
    <x v="9"/>
    <x v="3"/>
    <x v="2"/>
    <x v="4"/>
    <n v="1"/>
    <n v="197.67"/>
    <x v="6"/>
    <n v="148.25"/>
    <n v="9.65"/>
    <n v="20"/>
    <x v="1"/>
  </r>
  <r>
    <s v="ORD-10549"/>
    <x v="323"/>
    <s v="Thomas Rodriguez"/>
    <x v="1"/>
    <x v="0"/>
    <x v="0"/>
    <x v="0"/>
    <x v="28"/>
    <n v="2"/>
    <n v="49.24"/>
    <x v="3"/>
    <n v="88.63"/>
    <n v="9.16"/>
    <n v="25.31"/>
    <x v="1"/>
  </r>
  <r>
    <s v="ORD-11273"/>
    <x v="323"/>
    <s v="Richard Rodriguez"/>
    <x v="0"/>
    <x v="8"/>
    <x v="1"/>
    <x v="3"/>
    <x v="24"/>
    <n v="3"/>
    <n v="74.459999999999994"/>
    <x v="1"/>
    <n v="178.7"/>
    <n v="12.62"/>
    <n v="54.39"/>
    <x v="2"/>
  </r>
  <r>
    <s v="ORD-10067"/>
    <x v="324"/>
    <s v="Noah Leroy"/>
    <x v="0"/>
    <x v="19"/>
    <x v="1"/>
    <x v="0"/>
    <x v="18"/>
    <n v="5"/>
    <n v="36.68"/>
    <x v="0"/>
    <n v="183.4"/>
    <n v="16.95"/>
    <n v="65.58"/>
    <x v="3"/>
  </r>
  <r>
    <s v="ORD-10498"/>
    <x v="324"/>
    <s v="Kenji White"/>
    <x v="0"/>
    <x v="13"/>
    <x v="0"/>
    <x v="3"/>
    <x v="9"/>
    <n v="2"/>
    <n v="61.95"/>
    <x v="0"/>
    <n v="123.9"/>
    <n v="8.6999999999999993"/>
    <n v="53.25"/>
    <x v="2"/>
  </r>
  <r>
    <s v="ORD-10265"/>
    <x v="325"/>
    <s v="Nadia Zhang"/>
    <x v="1"/>
    <x v="16"/>
    <x v="3"/>
    <x v="1"/>
    <x v="12"/>
    <n v="3"/>
    <n v="18.850000000000001"/>
    <x v="1"/>
    <n v="45.24"/>
    <n v="12.65"/>
    <n v="7.14"/>
    <x v="1"/>
  </r>
  <r>
    <s v="ORD-10662"/>
    <x v="325"/>
    <s v="Liam Tanaka"/>
    <x v="0"/>
    <x v="0"/>
    <x v="0"/>
    <x v="3"/>
    <x v="16"/>
    <n v="5"/>
    <n v="49.71"/>
    <x v="6"/>
    <n v="186.41"/>
    <n v="8.76"/>
    <n v="53.37"/>
    <x v="2"/>
  </r>
  <r>
    <s v="ORD-11015"/>
    <x v="326"/>
    <s v="Clara Rodriguez"/>
    <x v="0"/>
    <x v="0"/>
    <x v="0"/>
    <x v="3"/>
    <x v="11"/>
    <n v="3"/>
    <n v="59.07"/>
    <x v="1"/>
    <n v="141.77000000000001"/>
    <n v="11.25"/>
    <n v="41.92"/>
    <x v="1"/>
  </r>
  <r>
    <s v="ORD-11782"/>
    <x v="326"/>
    <s v="Oscar Pereira"/>
    <x v="0"/>
    <x v="5"/>
    <x v="3"/>
    <x v="1"/>
    <x v="6"/>
    <n v="2"/>
    <n v="21.61"/>
    <x v="2"/>
    <n v="36.74"/>
    <n v="13.06"/>
    <n v="4.2300000000000004"/>
    <x v="3"/>
  </r>
  <r>
    <s v="ORD-10032"/>
    <x v="327"/>
    <s v="Oscar Khan"/>
    <x v="1"/>
    <x v="0"/>
    <x v="0"/>
    <x v="3"/>
    <x v="33"/>
    <n v="2"/>
    <n v="39.619999999999997"/>
    <x v="4"/>
    <n v="75.28"/>
    <n v="6"/>
    <n v="29.66"/>
    <x v="1"/>
  </r>
  <r>
    <s v="ORD-10004"/>
    <x v="328"/>
    <s v="Amir Garcia"/>
    <x v="0"/>
    <x v="15"/>
    <x v="2"/>
    <x v="0"/>
    <x v="1"/>
    <n v="12"/>
    <n v="150.5"/>
    <x v="1"/>
    <n v="1444.8"/>
    <n v="37.799999999999997"/>
    <n v="413.7"/>
    <x v="1"/>
  </r>
  <r>
    <s v="ORD-10051"/>
    <x v="329"/>
    <s v="Chen Thompson"/>
    <x v="1"/>
    <x v="2"/>
    <x v="0"/>
    <x v="1"/>
    <x v="20"/>
    <n v="5"/>
    <n v="8.68"/>
    <x v="0"/>
    <n v="43.4"/>
    <n v="13.4"/>
    <n v="10.47"/>
    <x v="3"/>
  </r>
  <r>
    <s v="ORD-10878"/>
    <x v="330"/>
    <s v="Clara Sato"/>
    <x v="2"/>
    <x v="9"/>
    <x v="3"/>
    <x v="2"/>
    <x v="32"/>
    <n v="2"/>
    <n v="29.62"/>
    <x v="4"/>
    <n v="56.28"/>
    <n v="10.79"/>
    <n v="9.9499999999999993"/>
    <x v="2"/>
  </r>
  <r>
    <s v="ORD-11208"/>
    <x v="330"/>
    <s v="Thomas Suzuki"/>
    <x v="0"/>
    <x v="0"/>
    <x v="0"/>
    <x v="0"/>
    <x v="1"/>
    <n v="2"/>
    <n v="96.97"/>
    <x v="2"/>
    <n v="164.85"/>
    <n v="9.27"/>
    <n v="48.91"/>
    <x v="3"/>
  </r>
  <r>
    <s v="ORD-11547"/>
    <x v="330"/>
    <s v="Mary Russo"/>
    <x v="2"/>
    <x v="12"/>
    <x v="4"/>
    <x v="1"/>
    <x v="2"/>
    <n v="1"/>
    <n v="15.66"/>
    <x v="0"/>
    <n v="15.66"/>
    <n v="10.77"/>
    <n v="-2.16"/>
    <x v="1"/>
  </r>
  <r>
    <s v="ORD-10100"/>
    <x v="331"/>
    <s v="Fatima Jones"/>
    <x v="0"/>
    <x v="2"/>
    <x v="0"/>
    <x v="2"/>
    <x v="5"/>
    <n v="1"/>
    <n v="93.08"/>
    <x v="4"/>
    <n v="88.43"/>
    <n v="6.7"/>
    <n v="25.88"/>
    <x v="3"/>
  </r>
  <r>
    <s v="ORD-10110"/>
    <x v="331"/>
    <s v="Ayumi White"/>
    <x v="0"/>
    <x v="3"/>
    <x v="1"/>
    <x v="3"/>
    <x v="9"/>
    <n v="2"/>
    <n v="38.08"/>
    <x v="3"/>
    <n v="68.540000000000006"/>
    <n v="10.11"/>
    <n v="20.350000000000001"/>
    <x v="0"/>
  </r>
  <r>
    <s v="ORD-10928"/>
    <x v="332"/>
    <s v="Olga Pereira"/>
    <x v="2"/>
    <x v="10"/>
    <x v="3"/>
    <x v="1"/>
    <x v="38"/>
    <n v="1"/>
    <n v="13.92"/>
    <x v="4"/>
    <n v="13.22"/>
    <n v="10.039999999999999"/>
    <n v="-3.08"/>
    <x v="2"/>
  </r>
  <r>
    <s v="ORD-11928"/>
    <x v="332"/>
    <s v="Kenji Dubois"/>
    <x v="2"/>
    <x v="1"/>
    <x v="1"/>
    <x v="2"/>
    <x v="36"/>
    <n v="2"/>
    <n v="297.8"/>
    <x v="0"/>
    <n v="595.6"/>
    <n v="11.67"/>
    <n v="226.57"/>
    <x v="2"/>
  </r>
  <r>
    <s v="ORD-10440"/>
    <x v="333"/>
    <s v="Marco Sharma"/>
    <x v="0"/>
    <x v="14"/>
    <x v="1"/>
    <x v="1"/>
    <x v="20"/>
    <n v="1"/>
    <n v="10.39"/>
    <x v="0"/>
    <n v="10.39"/>
    <n v="7.64"/>
    <n v="-1.93"/>
    <x v="2"/>
  </r>
  <r>
    <s v="ORD-11047"/>
    <x v="333"/>
    <s v="Yuki Ferrari"/>
    <x v="0"/>
    <x v="0"/>
    <x v="0"/>
    <x v="2"/>
    <x v="39"/>
    <n v="2"/>
    <n v="214.42"/>
    <x v="1"/>
    <n v="343.07"/>
    <n v="6.04"/>
    <n v="79.73"/>
    <x v="1"/>
  </r>
  <r>
    <s v="ORD-11456"/>
    <x v="333"/>
    <s v="Ahmed Singh"/>
    <x v="0"/>
    <x v="0"/>
    <x v="0"/>
    <x v="0"/>
    <x v="22"/>
    <n v="4"/>
    <n v="96.59"/>
    <x v="0"/>
    <n v="386.36"/>
    <n v="8.86"/>
    <n v="165"/>
    <x v="2"/>
  </r>
  <r>
    <s v="ORD-10297"/>
    <x v="334"/>
    <s v="Hans Patel"/>
    <x v="0"/>
    <x v="16"/>
    <x v="3"/>
    <x v="3"/>
    <x v="24"/>
    <n v="12"/>
    <n v="54.17"/>
    <x v="0"/>
    <n v="650.04"/>
    <n v="38.1"/>
    <n v="286.92"/>
    <x v="3"/>
  </r>
  <r>
    <s v="ORD-11139"/>
    <x v="334"/>
    <s v="Priya Laurent"/>
    <x v="1"/>
    <x v="1"/>
    <x v="1"/>
    <x v="3"/>
    <x v="13"/>
    <n v="4"/>
    <n v="90.04"/>
    <x v="4"/>
    <n v="342.15"/>
    <n v="13.31"/>
    <n v="148.76"/>
    <x v="3"/>
  </r>
  <r>
    <s v="ORD-11704"/>
    <x v="334"/>
    <s v="Clara Miller"/>
    <x v="1"/>
    <x v="3"/>
    <x v="1"/>
    <x v="0"/>
    <x v="3"/>
    <n v="2"/>
    <n v="33.729999999999997"/>
    <x v="2"/>
    <n v="57.34"/>
    <n v="11.05"/>
    <n v="9.19"/>
    <x v="1"/>
  </r>
  <r>
    <s v="ORD-10031"/>
    <x v="335"/>
    <s v="Yuki Martin"/>
    <x v="1"/>
    <x v="1"/>
    <x v="1"/>
    <x v="0"/>
    <x v="3"/>
    <n v="4"/>
    <n v="67.39"/>
    <x v="0"/>
    <n v="269.56"/>
    <n v="16.2"/>
    <n v="105.1"/>
    <x v="2"/>
  </r>
  <r>
    <s v="ORD-10923"/>
    <x v="335"/>
    <s v="Hans Martinez"/>
    <x v="1"/>
    <x v="9"/>
    <x v="3"/>
    <x v="2"/>
    <x v="15"/>
    <n v="6"/>
    <n v="443.99"/>
    <x v="2"/>
    <n v="2264.35"/>
    <n v="18.29"/>
    <n v="647.70000000000005"/>
    <x v="1"/>
  </r>
  <r>
    <s v="ORD-10958"/>
    <x v="336"/>
    <s v="John Zhang"/>
    <x v="2"/>
    <x v="8"/>
    <x v="1"/>
    <x v="0"/>
    <x v="0"/>
    <n v="1"/>
    <n v="216.25"/>
    <x v="4"/>
    <n v="205.44"/>
    <n v="7.52"/>
    <n v="78.98"/>
    <x v="2"/>
  </r>
  <r>
    <s v="ORD-11599"/>
    <x v="336"/>
    <s v="Nadia Martin"/>
    <x v="1"/>
    <x v="16"/>
    <x v="3"/>
    <x v="3"/>
    <x v="13"/>
    <n v="2"/>
    <n v="89.21"/>
    <x v="2"/>
    <n v="151.66"/>
    <n v="13.6"/>
    <n v="48.85"/>
    <x v="1"/>
  </r>
  <r>
    <s v="ORD-11625"/>
    <x v="337"/>
    <s v="Jennifer Ali"/>
    <x v="0"/>
    <x v="12"/>
    <x v="4"/>
    <x v="2"/>
    <x v="14"/>
    <n v="8"/>
    <n v="180.57"/>
    <x v="3"/>
    <n v="1300.0999999999999"/>
    <n v="17.579999999999998"/>
    <n v="415.78"/>
    <x v="1"/>
  </r>
  <r>
    <s v="ORD-11705"/>
    <x v="337"/>
    <s v="Jennifer Martinez"/>
    <x v="0"/>
    <x v="11"/>
    <x v="2"/>
    <x v="0"/>
    <x v="35"/>
    <n v="2"/>
    <n v="22.02"/>
    <x v="4"/>
    <n v="41.84"/>
    <n v="13.18"/>
    <n v="4.4400000000000004"/>
    <x v="0"/>
  </r>
  <r>
    <s v="ORD-10346"/>
    <x v="338"/>
    <s v="Marco Hassan"/>
    <x v="1"/>
    <x v="2"/>
    <x v="0"/>
    <x v="1"/>
    <x v="12"/>
    <n v="5"/>
    <n v="10.97"/>
    <x v="4"/>
    <n v="52.11"/>
    <n v="14.23"/>
    <n v="13.2"/>
    <x v="2"/>
  </r>
  <r>
    <s v="ORD-10338"/>
    <x v="339"/>
    <s v="Maria Zhang"/>
    <x v="0"/>
    <x v="12"/>
    <x v="4"/>
    <x v="0"/>
    <x v="22"/>
    <n v="1"/>
    <n v="78.61"/>
    <x v="4"/>
    <n v="74.680000000000007"/>
    <n v="11.74"/>
    <n v="19.7"/>
    <x v="1"/>
  </r>
  <r>
    <s v="ORD-10935"/>
    <x v="339"/>
    <s v="Patricia Khan"/>
    <x v="1"/>
    <x v="1"/>
    <x v="1"/>
    <x v="1"/>
    <x v="38"/>
    <n v="1"/>
    <n v="12.56"/>
    <x v="0"/>
    <n v="12.56"/>
    <n v="8.15"/>
    <n v="-1.24"/>
    <x v="2"/>
  </r>
  <r>
    <s v="ORD-11263"/>
    <x v="340"/>
    <s v="Susan Zhang"/>
    <x v="1"/>
    <x v="6"/>
    <x v="2"/>
    <x v="3"/>
    <x v="13"/>
    <n v="4"/>
    <n v="108.96"/>
    <x v="0"/>
    <n v="435.84"/>
    <n v="18.91"/>
    <n v="199.01"/>
    <x v="0"/>
  </r>
  <r>
    <s v="ORD-11724"/>
    <x v="340"/>
    <s v="Lucas Rodriguez"/>
    <x v="1"/>
    <x v="0"/>
    <x v="0"/>
    <x v="2"/>
    <x v="34"/>
    <n v="4"/>
    <n v="40.58"/>
    <x v="4"/>
    <n v="154.19999999999999"/>
    <n v="13.86"/>
    <n v="42.95"/>
    <x v="2"/>
  </r>
  <r>
    <s v="ORD-11580"/>
    <x v="341"/>
    <s v="Chen Garcia"/>
    <x v="1"/>
    <x v="5"/>
    <x v="3"/>
    <x v="0"/>
    <x v="18"/>
    <n v="1"/>
    <n v="28.43"/>
    <x v="0"/>
    <n v="28.43"/>
    <n v="11.31"/>
    <n v="1.48"/>
    <x v="0"/>
  </r>
  <r>
    <s v="ORD-10292"/>
    <x v="342"/>
    <s v="Omar Costa"/>
    <x v="0"/>
    <x v="6"/>
    <x v="2"/>
    <x v="1"/>
    <x v="17"/>
    <n v="1"/>
    <n v="20.74"/>
    <x v="2"/>
    <n v="17.63"/>
    <n v="13.45"/>
    <n v="-5.15"/>
    <x v="1"/>
  </r>
  <r>
    <s v="ORD-11565"/>
    <x v="343"/>
    <s v="Omar Williams"/>
    <x v="1"/>
    <x v="16"/>
    <x v="3"/>
    <x v="3"/>
    <x v="33"/>
    <n v="5"/>
    <n v="48.34"/>
    <x v="6"/>
    <n v="181.28"/>
    <n v="14.29"/>
    <n v="46.14"/>
    <x v="1"/>
  </r>
  <r>
    <s v="ORD-10413"/>
    <x v="344"/>
    <s v="Li Laurent"/>
    <x v="1"/>
    <x v="0"/>
    <x v="0"/>
    <x v="2"/>
    <x v="15"/>
    <n v="7"/>
    <n v="429.66"/>
    <x v="0"/>
    <n v="3007.62"/>
    <n v="13.26"/>
    <n v="1189.79"/>
    <x v="2"/>
  </r>
  <r>
    <s v="ORD-10503"/>
    <x v="344"/>
    <s v="Elizabeth Singh"/>
    <x v="0"/>
    <x v="10"/>
    <x v="3"/>
    <x v="2"/>
    <x v="21"/>
    <n v="2"/>
    <n v="48.32"/>
    <x v="1"/>
    <n v="77.31"/>
    <n v="12.19"/>
    <n v="7.14"/>
    <x v="0"/>
  </r>
  <r>
    <s v="ORD-10510"/>
    <x v="344"/>
    <s v="Olivia Anderson"/>
    <x v="0"/>
    <x v="3"/>
    <x v="1"/>
    <x v="3"/>
    <x v="27"/>
    <n v="3"/>
    <n v="62.02"/>
    <x v="4"/>
    <n v="176.76"/>
    <n v="8.7899999999999991"/>
    <n v="74.94"/>
    <x v="0"/>
  </r>
  <r>
    <s v="ORD-10165"/>
    <x v="345"/>
    <s v="Hanna Leroy"/>
    <x v="0"/>
    <x v="19"/>
    <x v="1"/>
    <x v="0"/>
    <x v="35"/>
    <n v="1"/>
    <n v="62.36"/>
    <x v="2"/>
    <n v="53.01"/>
    <n v="7.88"/>
    <n v="10.83"/>
    <x v="1"/>
  </r>
  <r>
    <s v="ORD-10529"/>
    <x v="345"/>
    <s v="Chen Santos"/>
    <x v="0"/>
    <x v="2"/>
    <x v="0"/>
    <x v="3"/>
    <x v="24"/>
    <n v="3"/>
    <n v="43.72"/>
    <x v="0"/>
    <n v="131.16"/>
    <n v="11.64"/>
    <n v="53.94"/>
    <x v="2"/>
  </r>
  <r>
    <s v="ORD-10819"/>
    <x v="345"/>
    <s v="Oscar Wang"/>
    <x v="2"/>
    <x v="8"/>
    <x v="1"/>
    <x v="3"/>
    <x v="30"/>
    <n v="5"/>
    <n v="13.07"/>
    <x v="0"/>
    <n v="65.349999999999994"/>
    <n v="13.22"/>
    <n v="19.45"/>
    <x v="3"/>
  </r>
  <r>
    <s v="ORD-11638"/>
    <x v="345"/>
    <s v="Maria Ferrari"/>
    <x v="0"/>
    <x v="0"/>
    <x v="0"/>
    <x v="2"/>
    <x v="4"/>
    <n v="1"/>
    <n v="246.49"/>
    <x v="3"/>
    <n v="221.84"/>
    <n v="6.91"/>
    <n v="67.040000000000006"/>
    <x v="1"/>
  </r>
  <r>
    <s v="ORD-11671"/>
    <x v="346"/>
    <s v="Jennifer Tanaka"/>
    <x v="1"/>
    <x v="13"/>
    <x v="0"/>
    <x v="3"/>
    <x v="30"/>
    <n v="7"/>
    <n v="23.26"/>
    <x v="4"/>
    <n v="154.68"/>
    <n v="15.24"/>
    <n v="58.03"/>
    <x v="1"/>
  </r>
  <r>
    <s v="ORD-10156"/>
    <x v="347"/>
    <s v="Karen Anderson"/>
    <x v="1"/>
    <x v="8"/>
    <x v="1"/>
    <x v="2"/>
    <x v="21"/>
    <n v="1"/>
    <n v="61.18"/>
    <x v="0"/>
    <n v="61.18"/>
    <n v="8.33"/>
    <n v="16.14"/>
    <x v="2"/>
  </r>
  <r>
    <s v="ORD-10708"/>
    <x v="348"/>
    <s v="Susan Li"/>
    <x v="0"/>
    <x v="19"/>
    <x v="1"/>
    <x v="0"/>
    <x v="22"/>
    <n v="4"/>
    <n v="78.349999999999994"/>
    <x v="1"/>
    <n v="250.72"/>
    <n v="12.16"/>
    <n v="66.19"/>
    <x v="2"/>
  </r>
  <r>
    <s v="ORD-11059"/>
    <x v="348"/>
    <s v="Patricia Clark"/>
    <x v="1"/>
    <x v="15"/>
    <x v="2"/>
    <x v="1"/>
    <x v="17"/>
    <n v="2"/>
    <n v="13.33"/>
    <x v="2"/>
    <n v="22.66"/>
    <n v="15.68"/>
    <n v="-5.0199999999999996"/>
    <x v="2"/>
  </r>
  <r>
    <s v="ORD-11676"/>
    <x v="348"/>
    <s v="Giulia Anderson"/>
    <x v="1"/>
    <x v="0"/>
    <x v="0"/>
    <x v="1"/>
    <x v="19"/>
    <n v="1"/>
    <n v="14.7"/>
    <x v="2"/>
    <n v="12.49"/>
    <n v="7.42"/>
    <n v="-1.54"/>
    <x v="1"/>
  </r>
  <r>
    <s v="ORD-11280"/>
    <x v="349"/>
    <s v="John Robinson"/>
    <x v="0"/>
    <x v="19"/>
    <x v="1"/>
    <x v="1"/>
    <x v="38"/>
    <n v="4"/>
    <n v="10.51"/>
    <x v="4"/>
    <n v="39.94"/>
    <n v="13.17"/>
    <n v="7.85"/>
    <x v="1"/>
  </r>
  <r>
    <s v="ORD-10947"/>
    <x v="350"/>
    <s v="Kenji Davis"/>
    <x v="2"/>
    <x v="3"/>
    <x v="1"/>
    <x v="2"/>
    <x v="36"/>
    <n v="5"/>
    <n v="131.71"/>
    <x v="3"/>
    <n v="592.70000000000005"/>
    <n v="10.75"/>
    <n v="186.82"/>
    <x v="0"/>
  </r>
  <r>
    <s v="ORD-10869"/>
    <x v="351"/>
    <s v="Priya Nilsson"/>
    <x v="0"/>
    <x v="10"/>
    <x v="3"/>
    <x v="1"/>
    <x v="19"/>
    <n v="5"/>
    <n v="5"/>
    <x v="0"/>
    <n v="25"/>
    <n v="13.15"/>
    <n v="0.6"/>
    <x v="0"/>
  </r>
  <r>
    <s v="ORD-10005"/>
    <x v="352"/>
    <s v="Chen Patel"/>
    <x v="2"/>
    <x v="13"/>
    <x v="0"/>
    <x v="1"/>
    <x v="25"/>
    <n v="1"/>
    <n v="12.92"/>
    <x v="3"/>
    <n v="11.63"/>
    <n v="5.83"/>
    <n v="-0.01"/>
    <x v="1"/>
  </r>
  <r>
    <s v="ORD-10951"/>
    <x v="352"/>
    <s v="Sarah Chen"/>
    <x v="1"/>
    <x v="2"/>
    <x v="0"/>
    <x v="1"/>
    <x v="17"/>
    <n v="6"/>
    <n v="15.88"/>
    <x v="4"/>
    <n v="90.52"/>
    <n v="10.1"/>
    <n v="37.54"/>
    <x v="2"/>
  </r>
  <r>
    <s v="ORD-11594"/>
    <x v="352"/>
    <s v="Michael Garcia"/>
    <x v="1"/>
    <x v="0"/>
    <x v="0"/>
    <x v="3"/>
    <x v="27"/>
    <n v="5"/>
    <n v="32.04"/>
    <x v="4"/>
    <n v="152.19"/>
    <n v="8.49"/>
    <n v="63.6"/>
    <x v="3"/>
  </r>
  <r>
    <s v="ORD-11835"/>
    <x v="352"/>
    <s v="Noah Clark"/>
    <x v="0"/>
    <x v="11"/>
    <x v="2"/>
    <x v="0"/>
    <x v="0"/>
    <n v="3"/>
    <n v="187.55"/>
    <x v="2"/>
    <n v="478.25"/>
    <n v="15.41"/>
    <n v="153.38"/>
    <x v="0"/>
  </r>
  <r>
    <s v="ORD-10706"/>
    <x v="353"/>
    <s v="Priya Rodriguez"/>
    <x v="1"/>
    <x v="5"/>
    <x v="3"/>
    <x v="0"/>
    <x v="3"/>
    <n v="11"/>
    <n v="67.959999999999994"/>
    <x v="4"/>
    <n v="710.18"/>
    <n v="35.32"/>
    <n v="263.7"/>
    <x v="0"/>
  </r>
  <r>
    <s v="ORD-11277"/>
    <x v="353"/>
    <s v="Sakura Smith"/>
    <x v="0"/>
    <x v="18"/>
    <x v="4"/>
    <x v="2"/>
    <x v="8"/>
    <n v="1"/>
    <n v="127.07"/>
    <x v="0"/>
    <n v="127.07"/>
    <n v="10.8"/>
    <n v="40.03"/>
    <x v="1"/>
  </r>
  <r>
    <s v="ORD-10437"/>
    <x v="354"/>
    <s v="Nadia Harris"/>
    <x v="0"/>
    <x v="5"/>
    <x v="3"/>
    <x v="3"/>
    <x v="13"/>
    <n v="5"/>
    <n v="110.65"/>
    <x v="0"/>
    <n v="553.25"/>
    <n v="13.18"/>
    <n v="263.44"/>
    <x v="1"/>
  </r>
  <r>
    <s v="ORD-10841"/>
    <x v="354"/>
    <s v="Carlos Martinez"/>
    <x v="1"/>
    <x v="7"/>
    <x v="4"/>
    <x v="0"/>
    <x v="29"/>
    <n v="2"/>
    <n v="27.57"/>
    <x v="0"/>
    <n v="55.14"/>
    <n v="12.15"/>
    <n v="12.66"/>
    <x v="2"/>
  </r>
  <r>
    <s v="ORD-10883"/>
    <x v="354"/>
    <s v="Fatima Williams"/>
    <x v="2"/>
    <x v="5"/>
    <x v="3"/>
    <x v="2"/>
    <x v="32"/>
    <n v="4"/>
    <n v="36.409999999999997"/>
    <x v="3"/>
    <n v="131.08000000000001"/>
    <n v="17.64"/>
    <n v="26.06"/>
    <x v="3"/>
  </r>
  <r>
    <s v="ORD-10273"/>
    <x v="355"/>
    <s v="Clara Johnson"/>
    <x v="1"/>
    <x v="5"/>
    <x v="3"/>
    <x v="1"/>
    <x v="20"/>
    <n v="4"/>
    <n v="7.72"/>
    <x v="2"/>
    <n v="26.25"/>
    <n v="14"/>
    <n v="-1.65"/>
    <x v="2"/>
  </r>
  <r>
    <s v="ORD-10893"/>
    <x v="355"/>
    <s v="Elizabeth Sharma"/>
    <x v="1"/>
    <x v="8"/>
    <x v="1"/>
    <x v="0"/>
    <x v="18"/>
    <n v="2"/>
    <n v="57.7"/>
    <x v="0"/>
    <n v="115.4"/>
    <n v="9.5500000000000007"/>
    <n v="42.38"/>
    <x v="3"/>
  </r>
  <r>
    <s v="ORD-11361"/>
    <x v="355"/>
    <s v="Olivia Sato"/>
    <x v="1"/>
    <x v="0"/>
    <x v="0"/>
    <x v="0"/>
    <x v="35"/>
    <n v="3"/>
    <n v="69.59"/>
    <x v="1"/>
    <n v="167.02"/>
    <n v="10.17"/>
    <n v="42.03"/>
    <x v="0"/>
  </r>
  <r>
    <s v="ORD-10309"/>
    <x v="356"/>
    <s v="William Clark"/>
    <x v="1"/>
    <x v="17"/>
    <x v="3"/>
    <x v="1"/>
    <x v="12"/>
    <n v="1"/>
    <n v="10.42"/>
    <x v="3"/>
    <n v="9.3800000000000008"/>
    <n v="10.01"/>
    <n v="-5.32"/>
    <x v="1"/>
  </r>
  <r>
    <s v="ORD-10531"/>
    <x v="357"/>
    <s v="William Smith"/>
    <x v="1"/>
    <x v="4"/>
    <x v="2"/>
    <x v="1"/>
    <x v="23"/>
    <n v="1"/>
    <n v="10.33"/>
    <x v="0"/>
    <n v="10.33"/>
    <n v="12.17"/>
    <n v="-6.49"/>
    <x v="1"/>
  </r>
  <r>
    <s v="ORD-10537"/>
    <x v="357"/>
    <s v="Maria Costa"/>
    <x v="1"/>
    <x v="19"/>
    <x v="1"/>
    <x v="3"/>
    <x v="30"/>
    <n v="1"/>
    <n v="24.87"/>
    <x v="1"/>
    <n v="19.899999999999999"/>
    <n v="7.99"/>
    <n v="-0.53"/>
    <x v="2"/>
  </r>
  <r>
    <s v="ORD-11284"/>
    <x v="357"/>
    <s v="Emma Moreau"/>
    <x v="1"/>
    <x v="14"/>
    <x v="1"/>
    <x v="0"/>
    <x v="7"/>
    <n v="5"/>
    <n v="73.849999999999994"/>
    <x v="0"/>
    <n v="369.25"/>
    <n v="19.399999999999999"/>
    <n v="146.76"/>
    <x v="0"/>
  </r>
  <r>
    <s v="ORD-11143"/>
    <x v="358"/>
    <s v="Layla Park"/>
    <x v="0"/>
    <x v="2"/>
    <x v="0"/>
    <x v="1"/>
    <x v="25"/>
    <n v="8"/>
    <n v="16.12"/>
    <x v="3"/>
    <n v="116.06"/>
    <n v="20.61"/>
    <n v="37.42"/>
    <x v="1"/>
  </r>
  <r>
    <s v="ORD-11742"/>
    <x v="358"/>
    <s v="James Wang"/>
    <x v="2"/>
    <x v="5"/>
    <x v="3"/>
    <x v="0"/>
    <x v="18"/>
    <n v="4"/>
    <n v="74.64"/>
    <x v="0"/>
    <n v="298.56"/>
    <n v="12.03"/>
    <n v="122.32"/>
    <x v="2"/>
  </r>
  <r>
    <s v="ORD-11961"/>
    <x v="358"/>
    <s v="Nadia Johansson"/>
    <x v="2"/>
    <x v="4"/>
    <x v="2"/>
    <x v="2"/>
    <x v="36"/>
    <n v="4"/>
    <n v="119.66"/>
    <x v="3"/>
    <n v="430.78"/>
    <n v="18.850000000000001"/>
    <n v="124.75"/>
    <x v="2"/>
  </r>
  <r>
    <s v="ORD-11956"/>
    <x v="359"/>
    <s v="Hanna MÃ¼ller"/>
    <x v="1"/>
    <x v="6"/>
    <x v="2"/>
    <x v="0"/>
    <x v="31"/>
    <n v="3"/>
    <n v="187.16"/>
    <x v="0"/>
    <n v="561.48"/>
    <n v="15.51"/>
    <n v="237.16"/>
    <x v="0"/>
  </r>
  <r>
    <s v="ORD-10573"/>
    <x v="360"/>
    <s v="Hanna Brown"/>
    <x v="2"/>
    <x v="19"/>
    <x v="1"/>
    <x v="1"/>
    <x v="6"/>
    <n v="2"/>
    <n v="10.08"/>
    <x v="2"/>
    <n v="17.14"/>
    <n v="9.67"/>
    <n v="-1.6"/>
    <x v="2"/>
  </r>
  <r>
    <s v="ORD-11179"/>
    <x v="360"/>
    <s v="Noah MÃ¼ller"/>
    <x v="1"/>
    <x v="7"/>
    <x v="4"/>
    <x v="2"/>
    <x v="8"/>
    <n v="2"/>
    <n v="115.3"/>
    <x v="4"/>
    <n v="219.07"/>
    <n v="13.43"/>
    <n v="67.28"/>
    <x v="0"/>
  </r>
  <r>
    <s v="ORD-11997"/>
    <x v="360"/>
    <s v="Barbara Sato"/>
    <x v="1"/>
    <x v="0"/>
    <x v="0"/>
    <x v="2"/>
    <x v="36"/>
    <n v="3"/>
    <n v="185.09"/>
    <x v="0"/>
    <n v="555.27"/>
    <n v="9.3699999999999992"/>
    <n v="212.74"/>
    <x v="1"/>
  </r>
  <r>
    <s v="ORD-10084"/>
    <x v="361"/>
    <s v="Wei Jones"/>
    <x v="2"/>
    <x v="16"/>
    <x v="3"/>
    <x v="0"/>
    <x v="28"/>
    <n v="3"/>
    <n v="55.49"/>
    <x v="4"/>
    <n v="158.15"/>
    <n v="16.399999999999999"/>
    <n v="50.19"/>
    <x v="0"/>
  </r>
  <r>
    <s v="ORD-11941"/>
    <x v="361"/>
    <s v="Ivan Patel"/>
    <x v="1"/>
    <x v="3"/>
    <x v="1"/>
    <x v="2"/>
    <x v="32"/>
    <n v="1"/>
    <n v="53.47"/>
    <x v="0"/>
    <n v="53.47"/>
    <n v="8.83"/>
    <n v="12.56"/>
    <x v="2"/>
  </r>
  <r>
    <s v="ORD-11174"/>
    <x v="362"/>
    <s v="Fatima Singh"/>
    <x v="0"/>
    <x v="10"/>
    <x v="3"/>
    <x v="3"/>
    <x v="27"/>
    <n v="3"/>
    <n v="24.44"/>
    <x v="6"/>
    <n v="54.99"/>
    <n v="12.17"/>
    <n v="6.16"/>
    <x v="2"/>
  </r>
  <r>
    <s v="ORD-11802"/>
    <x v="362"/>
    <s v="Giulia Nilsson"/>
    <x v="1"/>
    <x v="9"/>
    <x v="3"/>
    <x v="3"/>
    <x v="30"/>
    <n v="11"/>
    <n v="15.11"/>
    <x v="3"/>
    <n v="149.59"/>
    <n v="21.86"/>
    <n v="44.63"/>
    <x v="1"/>
  </r>
  <r>
    <s v="ORD-11979"/>
    <x v="362"/>
    <s v="Nadia Romano"/>
    <x v="0"/>
    <x v="8"/>
    <x v="1"/>
    <x v="1"/>
    <x v="19"/>
    <n v="2"/>
    <n v="4.03"/>
    <x v="4"/>
    <n v="7.66"/>
    <n v="10.73"/>
    <n v="-6.7"/>
    <x v="0"/>
  </r>
  <r>
    <s v="ORD-10425"/>
    <x v="363"/>
    <s v="Amir Khan"/>
    <x v="1"/>
    <x v="9"/>
    <x v="3"/>
    <x v="3"/>
    <x v="13"/>
    <n v="4"/>
    <n v="123.28"/>
    <x v="4"/>
    <n v="468.46"/>
    <n v="13.33"/>
    <n v="208.57"/>
    <x v="2"/>
  </r>
  <r>
    <s v="ORD-10040"/>
    <x v="364"/>
    <s v="Ava Clark"/>
    <x v="0"/>
    <x v="4"/>
    <x v="2"/>
    <x v="0"/>
    <x v="35"/>
    <n v="2"/>
    <n v="21.45"/>
    <x v="2"/>
    <n v="36.46"/>
    <n v="13.62"/>
    <n v="-0.76"/>
    <x v="1"/>
  </r>
  <r>
    <s v="ORD-10705"/>
    <x v="364"/>
    <s v="Chen Dubois"/>
    <x v="0"/>
    <x v="19"/>
    <x v="1"/>
    <x v="0"/>
    <x v="7"/>
    <n v="1"/>
    <n v="34.409999999999997"/>
    <x v="4"/>
    <n v="32.69"/>
    <n v="7.58"/>
    <n v="6.18"/>
    <x v="1"/>
  </r>
  <r>
    <s v="ORD-11101"/>
    <x v="364"/>
    <s v="Hans Harris"/>
    <x v="1"/>
    <x v="0"/>
    <x v="0"/>
    <x v="0"/>
    <x v="22"/>
    <n v="6"/>
    <n v="99.17"/>
    <x v="2"/>
    <n v="505.77"/>
    <n v="13.35"/>
    <n v="165.16"/>
    <x v="1"/>
  </r>
  <r>
    <s v="ORD-11914"/>
    <x v="364"/>
    <s v="Xiao Ali"/>
    <x v="0"/>
    <x v="6"/>
    <x v="2"/>
    <x v="2"/>
    <x v="39"/>
    <n v="7"/>
    <n v="140.88999999999999"/>
    <x v="2"/>
    <n v="838.3"/>
    <n v="16.010000000000002"/>
    <n v="230.55"/>
    <x v="2"/>
  </r>
  <r>
    <s v="ORD-10154"/>
    <x v="365"/>
    <s v="Jessica Patel"/>
    <x v="2"/>
    <x v="2"/>
    <x v="0"/>
    <x v="0"/>
    <x v="28"/>
    <n v="12"/>
    <n v="40.47"/>
    <x v="4"/>
    <n v="461.36"/>
    <n v="27.85"/>
    <n v="166.41"/>
    <x v="0"/>
  </r>
  <r>
    <s v="ORD-11326"/>
    <x v="365"/>
    <s v="Patricia Rossi"/>
    <x v="1"/>
    <x v="12"/>
    <x v="4"/>
    <x v="2"/>
    <x v="8"/>
    <n v="1"/>
    <n v="42.6"/>
    <x v="2"/>
    <n v="36.21"/>
    <n v="11.24"/>
    <n v="-0.59"/>
    <x v="3"/>
  </r>
  <r>
    <s v="ORD-10379"/>
    <x v="366"/>
    <s v="Felix MÃ¼ller"/>
    <x v="0"/>
    <x v="9"/>
    <x v="3"/>
    <x v="1"/>
    <x v="20"/>
    <n v="1"/>
    <n v="7.85"/>
    <x v="3"/>
    <n v="7.06"/>
    <n v="9.6"/>
    <n v="-6.07"/>
    <x v="1"/>
  </r>
  <r>
    <s v="ORD-10754"/>
    <x v="366"/>
    <s v="Chen Patel"/>
    <x v="0"/>
    <x v="14"/>
    <x v="1"/>
    <x v="2"/>
    <x v="39"/>
    <n v="6"/>
    <n v="203.47"/>
    <x v="3"/>
    <n v="1098.74"/>
    <n v="13.13"/>
    <n v="353.12"/>
    <x v="1"/>
  </r>
  <r>
    <s v="ORD-10394"/>
    <x v="367"/>
    <s v="Oscar Kim"/>
    <x v="2"/>
    <x v="12"/>
    <x v="4"/>
    <x v="3"/>
    <x v="26"/>
    <n v="8"/>
    <n v="14.51"/>
    <x v="1"/>
    <n v="92.86"/>
    <n v="27.87"/>
    <n v="6.95"/>
    <x v="2"/>
  </r>
  <r>
    <s v="ORD-10464"/>
    <x v="367"/>
    <s v="Ivan Zhang"/>
    <x v="2"/>
    <x v="13"/>
    <x v="0"/>
    <x v="1"/>
    <x v="20"/>
    <n v="7"/>
    <n v="18.79"/>
    <x v="4"/>
    <n v="124.95"/>
    <n v="9.1199999999999992"/>
    <n v="56.64"/>
    <x v="0"/>
  </r>
  <r>
    <s v="ORD-11428"/>
    <x v="367"/>
    <s v="Mary Weber"/>
    <x v="1"/>
    <x v="19"/>
    <x v="1"/>
    <x v="1"/>
    <x v="12"/>
    <n v="1"/>
    <n v="18.75"/>
    <x v="0"/>
    <n v="18.75"/>
    <n v="9.2200000000000006"/>
    <n v="1.0900000000000001"/>
    <x v="2"/>
  </r>
  <r>
    <s v="ORD-11969"/>
    <x v="367"/>
    <s v="Nadia Laurent"/>
    <x v="1"/>
    <x v="10"/>
    <x v="3"/>
    <x v="0"/>
    <x v="31"/>
    <n v="4"/>
    <n v="130.44999999999999"/>
    <x v="0"/>
    <n v="521.79999999999995"/>
    <n v="18.510000000000002"/>
    <n v="216.3"/>
    <x v="2"/>
  </r>
  <r>
    <s v="ORD-11981"/>
    <x v="368"/>
    <s v="Fatima Fischer"/>
    <x v="2"/>
    <x v="1"/>
    <x v="1"/>
    <x v="0"/>
    <x v="0"/>
    <n v="1"/>
    <n v="231.11"/>
    <x v="3"/>
    <n v="208"/>
    <n v="8.8699999999999992"/>
    <n v="72.02"/>
    <x v="2"/>
  </r>
  <r>
    <s v="ORD-10660"/>
    <x v="369"/>
    <s v="Sarah Moreau"/>
    <x v="0"/>
    <x v="19"/>
    <x v="1"/>
    <x v="3"/>
    <x v="11"/>
    <n v="2"/>
    <n v="35.17"/>
    <x v="6"/>
    <n v="52.76"/>
    <n v="10.97"/>
    <n v="6.62"/>
    <x v="3"/>
  </r>
  <r>
    <s v="ORD-10768"/>
    <x v="369"/>
    <s v="Jessica Costa"/>
    <x v="1"/>
    <x v="9"/>
    <x v="3"/>
    <x v="0"/>
    <x v="0"/>
    <n v="13"/>
    <n v="73.44"/>
    <x v="2"/>
    <n v="811.51"/>
    <n v="34.33"/>
    <n v="252.08"/>
    <x v="1"/>
  </r>
  <r>
    <s v="ORD-11299"/>
    <x v="369"/>
    <s v="Isabella Yamamoto"/>
    <x v="0"/>
    <x v="3"/>
    <x v="1"/>
    <x v="1"/>
    <x v="19"/>
    <n v="2"/>
    <n v="9.1"/>
    <x v="0"/>
    <n v="18.2"/>
    <n v="9.66"/>
    <n v="0.35"/>
    <x v="2"/>
  </r>
  <r>
    <s v="ORD-10295"/>
    <x v="370"/>
    <s v="Ayumi Miller"/>
    <x v="0"/>
    <x v="16"/>
    <x v="3"/>
    <x v="1"/>
    <x v="12"/>
    <n v="3"/>
    <n v="14.61"/>
    <x v="2"/>
    <n v="37.26"/>
    <n v="14.68"/>
    <n v="2.86"/>
    <x v="2"/>
  </r>
  <r>
    <s v="ORD-10832"/>
    <x v="370"/>
    <s v="Karen Tanaka"/>
    <x v="0"/>
    <x v="9"/>
    <x v="3"/>
    <x v="1"/>
    <x v="23"/>
    <n v="5"/>
    <n v="15.19"/>
    <x v="3"/>
    <n v="68.36"/>
    <n v="12.71"/>
    <n v="21.47"/>
    <x v="0"/>
  </r>
  <r>
    <s v="ORD-11250"/>
    <x v="370"/>
    <s v="Emma Kim"/>
    <x v="1"/>
    <x v="17"/>
    <x v="3"/>
    <x v="0"/>
    <x v="22"/>
    <n v="1"/>
    <n v="116.53"/>
    <x v="3"/>
    <n v="104.88"/>
    <n v="10.52"/>
    <n v="30.27"/>
    <x v="2"/>
  </r>
  <r>
    <s v="ORD-11581"/>
    <x v="370"/>
    <s v="Mia Smith"/>
    <x v="1"/>
    <x v="19"/>
    <x v="1"/>
    <x v="3"/>
    <x v="24"/>
    <n v="5"/>
    <n v="45.28"/>
    <x v="6"/>
    <n v="169.8"/>
    <n v="12.55"/>
    <n v="44.05"/>
    <x v="1"/>
  </r>
  <r>
    <s v="ORD-10064"/>
    <x v="371"/>
    <s v="Ahmed Clark"/>
    <x v="0"/>
    <x v="9"/>
    <x v="3"/>
    <x v="3"/>
    <x v="27"/>
    <n v="1"/>
    <n v="43.07"/>
    <x v="1"/>
    <n v="34.46"/>
    <n v="10.5"/>
    <n v="2.4300000000000002"/>
    <x v="3"/>
  </r>
  <r>
    <s v="ORD-10665"/>
    <x v="371"/>
    <s v="Noah Martinez"/>
    <x v="2"/>
    <x v="2"/>
    <x v="0"/>
    <x v="1"/>
    <x v="6"/>
    <n v="5"/>
    <n v="23.69"/>
    <x v="2"/>
    <n v="100.68"/>
    <n v="14.77"/>
    <n v="32.61"/>
    <x v="1"/>
  </r>
  <r>
    <s v="ORD-10687"/>
    <x v="371"/>
    <s v="Jennifer Ferrari"/>
    <x v="1"/>
    <x v="2"/>
    <x v="0"/>
    <x v="0"/>
    <x v="3"/>
    <n v="3"/>
    <n v="80.36"/>
    <x v="1"/>
    <n v="192.86"/>
    <n v="9.0399999999999991"/>
    <n v="51.23"/>
    <x v="1"/>
  </r>
  <r>
    <s v="ORD-10806"/>
    <x v="372"/>
    <s v="Sakura Thomas"/>
    <x v="1"/>
    <x v="19"/>
    <x v="1"/>
    <x v="0"/>
    <x v="28"/>
    <n v="3"/>
    <n v="39.53"/>
    <x v="2"/>
    <n v="100.8"/>
    <n v="9.02"/>
    <n v="26.56"/>
    <x v="1"/>
  </r>
  <r>
    <s v="ORD-10813"/>
    <x v="372"/>
    <s v="Raj Li"/>
    <x v="1"/>
    <x v="2"/>
    <x v="0"/>
    <x v="1"/>
    <x v="2"/>
    <n v="5"/>
    <n v="10.25"/>
    <x v="2"/>
    <n v="43.56"/>
    <n v="9.7799999999999994"/>
    <n v="10.72"/>
    <x v="0"/>
  </r>
  <r>
    <s v="ORD-10956"/>
    <x v="372"/>
    <s v="Sakura Rodriguez"/>
    <x v="1"/>
    <x v="0"/>
    <x v="0"/>
    <x v="1"/>
    <x v="25"/>
    <n v="2"/>
    <n v="14.32"/>
    <x v="3"/>
    <n v="25.78"/>
    <n v="7"/>
    <n v="5.89"/>
    <x v="1"/>
  </r>
  <r>
    <s v="ORD-11558"/>
    <x v="372"/>
    <s v="Chen Martin"/>
    <x v="1"/>
    <x v="14"/>
    <x v="1"/>
    <x v="1"/>
    <x v="10"/>
    <n v="8"/>
    <n v="9"/>
    <x v="0"/>
    <n v="72"/>
    <n v="16.77"/>
    <n v="22.83"/>
    <x v="1"/>
  </r>
  <r>
    <s v="ORD-10078"/>
    <x v="373"/>
    <s v="Olivia Nilsson"/>
    <x v="1"/>
    <x v="18"/>
    <x v="4"/>
    <x v="3"/>
    <x v="37"/>
    <n v="5"/>
    <n v="77.97"/>
    <x v="4"/>
    <n v="370.36"/>
    <n v="20.41"/>
    <n v="155.03"/>
    <x v="1"/>
  </r>
  <r>
    <s v="ORD-11634"/>
    <x v="373"/>
    <s v="Olivia Robinson"/>
    <x v="1"/>
    <x v="9"/>
    <x v="3"/>
    <x v="3"/>
    <x v="11"/>
    <n v="3"/>
    <n v="70.34"/>
    <x v="3"/>
    <n v="189.92"/>
    <n v="14.67"/>
    <n v="69.739999999999995"/>
    <x v="1"/>
  </r>
  <r>
    <s v="ORD-10092"/>
    <x v="374"/>
    <s v="Susan Hassan"/>
    <x v="2"/>
    <x v="19"/>
    <x v="1"/>
    <x v="3"/>
    <x v="30"/>
    <n v="6"/>
    <n v="29.44"/>
    <x v="3"/>
    <n v="158.97999999999999"/>
    <n v="17.71"/>
    <n v="52.95"/>
    <x v="1"/>
  </r>
  <r>
    <s v="ORD-10964"/>
    <x v="374"/>
    <s v="Richard Kumar"/>
    <x v="1"/>
    <x v="16"/>
    <x v="3"/>
    <x v="3"/>
    <x v="33"/>
    <n v="9"/>
    <n v="36.630000000000003"/>
    <x v="4"/>
    <n v="313.19"/>
    <n v="17.14"/>
    <n v="131.21"/>
    <x v="1"/>
  </r>
  <r>
    <s v="ORD-11344"/>
    <x v="374"/>
    <s v="Amir Wang"/>
    <x v="1"/>
    <x v="0"/>
    <x v="0"/>
    <x v="1"/>
    <x v="20"/>
    <n v="1"/>
    <n v="13.3"/>
    <x v="2"/>
    <n v="11.3"/>
    <n v="5.8"/>
    <n v="-0.48"/>
    <x v="1"/>
  </r>
  <r>
    <s v="ORD-10991"/>
    <x v="375"/>
    <s v="Marco Weber"/>
    <x v="1"/>
    <x v="0"/>
    <x v="0"/>
    <x v="2"/>
    <x v="4"/>
    <n v="5"/>
    <n v="184.93"/>
    <x v="4"/>
    <n v="878.42"/>
    <n v="7.7"/>
    <n v="315.93"/>
    <x v="2"/>
  </r>
  <r>
    <s v="ORD-11785"/>
    <x v="375"/>
    <s v="Michael Sharma"/>
    <x v="2"/>
    <x v="0"/>
    <x v="0"/>
    <x v="3"/>
    <x v="16"/>
    <n v="1"/>
    <n v="53.29"/>
    <x v="3"/>
    <n v="47.96"/>
    <n v="6.39"/>
    <n v="14.93"/>
    <x v="1"/>
  </r>
  <r>
    <s v="ORD-10250"/>
    <x v="376"/>
    <s v="Richard Garcia"/>
    <x v="0"/>
    <x v="4"/>
    <x v="2"/>
    <x v="1"/>
    <x v="2"/>
    <n v="2"/>
    <n v="14"/>
    <x v="3"/>
    <n v="25.2"/>
    <n v="15.47"/>
    <n v="-2.87"/>
    <x v="2"/>
  </r>
  <r>
    <s v="ORD-11053"/>
    <x v="376"/>
    <s v="Wei MÃ¼ller"/>
    <x v="1"/>
    <x v="17"/>
    <x v="3"/>
    <x v="0"/>
    <x v="31"/>
    <n v="4"/>
    <n v="43.88"/>
    <x v="3"/>
    <n v="157.97"/>
    <n v="14.83"/>
    <n v="46.6"/>
    <x v="1"/>
  </r>
  <r>
    <s v="ORD-11489"/>
    <x v="376"/>
    <s v="Olga Anderson"/>
    <x v="2"/>
    <x v="5"/>
    <x v="3"/>
    <x v="0"/>
    <x v="31"/>
    <n v="1"/>
    <n v="198.87"/>
    <x v="2"/>
    <n v="169.04"/>
    <n v="10.72"/>
    <n v="48.94"/>
    <x v="1"/>
  </r>
  <r>
    <s v="ORD-11767"/>
    <x v="376"/>
    <s v="Robert Schmidt"/>
    <x v="1"/>
    <x v="8"/>
    <x v="1"/>
    <x v="0"/>
    <x v="35"/>
    <n v="3"/>
    <n v="53.25"/>
    <x v="4"/>
    <n v="151.76"/>
    <n v="11.26"/>
    <n v="52.64"/>
    <x v="2"/>
  </r>
  <r>
    <s v="ORD-10305"/>
    <x v="377"/>
    <s v="Michael Taylor"/>
    <x v="0"/>
    <x v="16"/>
    <x v="3"/>
    <x v="3"/>
    <x v="37"/>
    <n v="4"/>
    <n v="42.06"/>
    <x v="3"/>
    <n v="151.41999999999999"/>
    <n v="11.14"/>
    <n v="56.16"/>
    <x v="2"/>
  </r>
  <r>
    <s v="ORD-11106"/>
    <x v="378"/>
    <s v="Sakura Oliveira"/>
    <x v="1"/>
    <x v="8"/>
    <x v="1"/>
    <x v="0"/>
    <x v="28"/>
    <n v="4"/>
    <n v="24.16"/>
    <x v="0"/>
    <n v="96.64"/>
    <n v="9.6300000000000008"/>
    <n v="33.86"/>
    <x v="0"/>
  </r>
  <r>
    <s v="ORD-10006"/>
    <x v="379"/>
    <s v="Hans Kumar"/>
    <x v="1"/>
    <x v="9"/>
    <x v="3"/>
    <x v="3"/>
    <x v="16"/>
    <n v="1"/>
    <n v="33.049999999999997"/>
    <x v="1"/>
    <n v="26.44"/>
    <n v="10.63"/>
    <n v="-0.71"/>
    <x v="3"/>
  </r>
  <r>
    <s v="ORD-11141"/>
    <x v="379"/>
    <s v="Hans MÃ¼ller"/>
    <x v="1"/>
    <x v="11"/>
    <x v="2"/>
    <x v="1"/>
    <x v="23"/>
    <n v="2"/>
    <n v="10.3"/>
    <x v="4"/>
    <n v="19.57"/>
    <n v="12.16"/>
    <n v="-1.86"/>
    <x v="0"/>
  </r>
  <r>
    <s v="ORD-11434"/>
    <x v="379"/>
    <s v="Clara Singh"/>
    <x v="1"/>
    <x v="10"/>
    <x v="3"/>
    <x v="1"/>
    <x v="38"/>
    <n v="2"/>
    <n v="10.57"/>
    <x v="4"/>
    <n v="20.079999999999998"/>
    <n v="11.11"/>
    <n v="-0.54"/>
    <x v="2"/>
  </r>
  <r>
    <s v="ORD-10463"/>
    <x v="380"/>
    <s v="Ahmed Johansson"/>
    <x v="0"/>
    <x v="18"/>
    <x v="4"/>
    <x v="0"/>
    <x v="31"/>
    <n v="14"/>
    <n v="118.27"/>
    <x v="3"/>
    <n v="1490.2"/>
    <n v="40.44"/>
    <n v="539.08000000000004"/>
    <x v="1"/>
  </r>
  <r>
    <s v="ORD-11290"/>
    <x v="380"/>
    <s v="Wei Johnson"/>
    <x v="2"/>
    <x v="10"/>
    <x v="3"/>
    <x v="0"/>
    <x v="18"/>
    <n v="9"/>
    <n v="38.81"/>
    <x v="4"/>
    <n v="331.83"/>
    <n v="21.13"/>
    <n v="118.59"/>
    <x v="1"/>
  </r>
  <r>
    <s v="ORD-10075"/>
    <x v="381"/>
    <s v="Michael Ferrari"/>
    <x v="0"/>
    <x v="15"/>
    <x v="2"/>
    <x v="1"/>
    <x v="17"/>
    <n v="1"/>
    <n v="9.5"/>
    <x v="4"/>
    <n v="9.0299999999999994"/>
    <n v="13.01"/>
    <n v="-8.26"/>
    <x v="3"/>
  </r>
  <r>
    <s v="ORD-10460"/>
    <x v="381"/>
    <s v="Kenji Romano"/>
    <x v="0"/>
    <x v="19"/>
    <x v="1"/>
    <x v="1"/>
    <x v="17"/>
    <n v="1"/>
    <n v="9.64"/>
    <x v="3"/>
    <n v="8.68"/>
    <n v="7.9"/>
    <n v="-3.56"/>
    <x v="0"/>
  </r>
  <r>
    <s v="ORD-11887"/>
    <x v="381"/>
    <s v="Zara Chen"/>
    <x v="0"/>
    <x v="14"/>
    <x v="1"/>
    <x v="1"/>
    <x v="12"/>
    <n v="2"/>
    <n v="10.28"/>
    <x v="3"/>
    <n v="18.5"/>
    <n v="11.36"/>
    <n v="-2.11"/>
    <x v="0"/>
  </r>
  <r>
    <s v="ORD-10171"/>
    <x v="382"/>
    <s v="Michael Kim"/>
    <x v="1"/>
    <x v="2"/>
    <x v="0"/>
    <x v="0"/>
    <x v="28"/>
    <n v="3"/>
    <n v="20.41"/>
    <x v="4"/>
    <n v="58.17"/>
    <n v="10.210000000000001"/>
    <n v="14.28"/>
    <x v="2"/>
  </r>
  <r>
    <s v="ORD-10354"/>
    <x v="382"/>
    <s v="Amina Clark"/>
    <x v="1"/>
    <x v="19"/>
    <x v="1"/>
    <x v="1"/>
    <x v="12"/>
    <n v="2"/>
    <n v="14.35"/>
    <x v="3"/>
    <n v="25.83"/>
    <n v="9.58"/>
    <n v="3.33"/>
    <x v="1"/>
  </r>
  <r>
    <s v="ORD-11171"/>
    <x v="382"/>
    <s v="Robert Chen"/>
    <x v="1"/>
    <x v="5"/>
    <x v="3"/>
    <x v="2"/>
    <x v="15"/>
    <n v="2"/>
    <n v="221.74"/>
    <x v="6"/>
    <n v="332.61"/>
    <n v="10.29"/>
    <n v="56.23"/>
    <x v="2"/>
  </r>
  <r>
    <s v="ORD-10332"/>
    <x v="383"/>
    <s v="Ali Thomas"/>
    <x v="1"/>
    <x v="16"/>
    <x v="3"/>
    <x v="1"/>
    <x v="6"/>
    <n v="4"/>
    <n v="14.12"/>
    <x v="6"/>
    <n v="42.36"/>
    <n v="11.69"/>
    <n v="5.25"/>
    <x v="1"/>
  </r>
  <r>
    <s v="ORD-10420"/>
    <x v="383"/>
    <s v="Layla Kumar"/>
    <x v="0"/>
    <x v="10"/>
    <x v="3"/>
    <x v="3"/>
    <x v="33"/>
    <n v="4"/>
    <n v="49.44"/>
    <x v="6"/>
    <n v="148.32"/>
    <n v="14.14"/>
    <n v="35.299999999999997"/>
    <x v="2"/>
  </r>
  <r>
    <s v="ORD-11259"/>
    <x v="384"/>
    <s v="Karen Nilsson"/>
    <x v="1"/>
    <x v="16"/>
    <x v="3"/>
    <x v="0"/>
    <x v="1"/>
    <n v="7"/>
    <n v="67.05"/>
    <x v="2"/>
    <n v="398.95"/>
    <n v="24.08"/>
    <n v="116.73"/>
    <x v="3"/>
  </r>
  <r>
    <s v="ORD-11678"/>
    <x v="384"/>
    <s v="Mia Martin"/>
    <x v="2"/>
    <x v="19"/>
    <x v="1"/>
    <x v="1"/>
    <x v="12"/>
    <n v="2"/>
    <n v="20.62"/>
    <x v="2"/>
    <n v="35.049999999999997"/>
    <n v="11.25"/>
    <n v="5.24"/>
    <x v="2"/>
  </r>
  <r>
    <s v="ORD-10236"/>
    <x v="385"/>
    <s v="Priya Brown"/>
    <x v="2"/>
    <x v="19"/>
    <x v="1"/>
    <x v="3"/>
    <x v="27"/>
    <n v="1"/>
    <n v="32.39"/>
    <x v="3"/>
    <n v="29.15"/>
    <n v="9.08"/>
    <n v="3.87"/>
    <x v="3"/>
  </r>
  <r>
    <s v="ORD-10407"/>
    <x v="385"/>
    <s v="Isabella Laurent"/>
    <x v="0"/>
    <x v="14"/>
    <x v="1"/>
    <x v="1"/>
    <x v="19"/>
    <n v="1"/>
    <n v="4.0199999999999996"/>
    <x v="2"/>
    <n v="3.42"/>
    <n v="7.74"/>
    <n v="-6.13"/>
    <x v="3"/>
  </r>
  <r>
    <s v="ORD-10575"/>
    <x v="385"/>
    <s v="Barbara Nilsson"/>
    <x v="0"/>
    <x v="10"/>
    <x v="3"/>
    <x v="3"/>
    <x v="16"/>
    <n v="10"/>
    <n v="39.340000000000003"/>
    <x v="1"/>
    <n v="314.72000000000003"/>
    <n v="28.72"/>
    <n v="89.3"/>
    <x v="2"/>
  </r>
  <r>
    <s v="ORD-11315"/>
    <x v="385"/>
    <s v="Ahmed Santos"/>
    <x v="2"/>
    <x v="9"/>
    <x v="3"/>
    <x v="0"/>
    <x v="18"/>
    <n v="2"/>
    <n v="69.72"/>
    <x v="1"/>
    <n v="111.55"/>
    <n v="10.18"/>
    <n v="24.68"/>
    <x v="1"/>
  </r>
  <r>
    <s v="ORD-11548"/>
    <x v="385"/>
    <s v="Fatima Williams"/>
    <x v="2"/>
    <x v="0"/>
    <x v="0"/>
    <x v="3"/>
    <x v="11"/>
    <n v="4"/>
    <n v="32.79"/>
    <x v="4"/>
    <n v="124.6"/>
    <n v="8.07"/>
    <n v="50.95"/>
    <x v="1"/>
  </r>
  <r>
    <s v="ORD-11607"/>
    <x v="385"/>
    <s v="Sophie White"/>
    <x v="0"/>
    <x v="12"/>
    <x v="4"/>
    <x v="2"/>
    <x v="4"/>
    <n v="2"/>
    <n v="123.37"/>
    <x v="1"/>
    <n v="197.39"/>
    <n v="14.52"/>
    <n v="34.83"/>
    <x v="1"/>
  </r>
  <r>
    <s v="ORD-11675"/>
    <x v="386"/>
    <s v="Karen Sato"/>
    <x v="0"/>
    <x v="18"/>
    <x v="4"/>
    <x v="2"/>
    <x v="14"/>
    <n v="8"/>
    <n v="363.39"/>
    <x v="3"/>
    <n v="2616.41"/>
    <n v="27.16"/>
    <n v="844.98"/>
    <x v="1"/>
  </r>
  <r>
    <s v="ORD-10057"/>
    <x v="387"/>
    <s v="Ali Wang"/>
    <x v="1"/>
    <x v="11"/>
    <x v="2"/>
    <x v="3"/>
    <x v="11"/>
    <n v="8"/>
    <n v="82.89"/>
    <x v="4"/>
    <n v="629.96"/>
    <n v="23.71"/>
    <n v="274.69"/>
    <x v="2"/>
  </r>
  <r>
    <s v="ORD-10438"/>
    <x v="387"/>
    <s v="Omar Fischer"/>
    <x v="0"/>
    <x v="16"/>
    <x v="3"/>
    <x v="2"/>
    <x v="36"/>
    <n v="1"/>
    <n v="189.66"/>
    <x v="1"/>
    <n v="151.72999999999999"/>
    <n v="9.52"/>
    <n v="28.41"/>
    <x v="0"/>
  </r>
  <r>
    <s v="ORD-10616"/>
    <x v="387"/>
    <s v="Felix White"/>
    <x v="1"/>
    <x v="10"/>
    <x v="3"/>
    <x v="2"/>
    <x v="21"/>
    <n v="4"/>
    <n v="83.03"/>
    <x v="4"/>
    <n v="315.51"/>
    <n v="17.34"/>
    <n v="98.9"/>
    <x v="1"/>
  </r>
  <r>
    <s v="ORD-11373"/>
    <x v="387"/>
    <s v="Layla Li"/>
    <x v="1"/>
    <x v="18"/>
    <x v="4"/>
    <x v="0"/>
    <x v="7"/>
    <n v="3"/>
    <n v="79.819999999999993"/>
    <x v="4"/>
    <n v="227.49"/>
    <n v="13.83"/>
    <n v="81.96"/>
    <x v="2"/>
  </r>
  <r>
    <s v="ORD-11546"/>
    <x v="388"/>
    <s v="Kenji Sharma"/>
    <x v="0"/>
    <x v="18"/>
    <x v="4"/>
    <x v="0"/>
    <x v="22"/>
    <n v="2"/>
    <n v="128.49"/>
    <x v="1"/>
    <n v="205.58"/>
    <n v="11.38"/>
    <n v="52.86"/>
    <x v="3"/>
  </r>
  <r>
    <s v="ORD-11871"/>
    <x v="388"/>
    <s v="Ethan Li"/>
    <x v="2"/>
    <x v="2"/>
    <x v="0"/>
    <x v="0"/>
    <x v="18"/>
    <n v="3"/>
    <n v="57.54"/>
    <x v="1"/>
    <n v="138.1"/>
    <n v="9.7100000000000009"/>
    <n v="33.450000000000003"/>
    <x v="1"/>
  </r>
  <r>
    <s v="ORD-11999"/>
    <x v="389"/>
    <s v="Linda Sato"/>
    <x v="0"/>
    <x v="2"/>
    <x v="0"/>
    <x v="2"/>
    <x v="32"/>
    <n v="1"/>
    <n v="74.599999999999994"/>
    <x v="3"/>
    <n v="67.14"/>
    <n v="6.8"/>
    <n v="15.58"/>
    <x v="1"/>
  </r>
  <r>
    <s v="ORD-10034"/>
    <x v="390"/>
    <s v="Ali Dubois"/>
    <x v="0"/>
    <x v="9"/>
    <x v="3"/>
    <x v="1"/>
    <x v="19"/>
    <n v="1"/>
    <n v="12.87"/>
    <x v="0"/>
    <n v="12.87"/>
    <n v="11.47"/>
    <n v="-4.3899999999999997"/>
    <x v="2"/>
  </r>
  <r>
    <s v="ORD-11583"/>
    <x v="390"/>
    <s v="Wei Li"/>
    <x v="1"/>
    <x v="15"/>
    <x v="2"/>
    <x v="2"/>
    <x v="36"/>
    <n v="15"/>
    <n v="107.45"/>
    <x v="4"/>
    <n v="1531.16"/>
    <n v="23.4"/>
    <n v="540.71"/>
    <x v="1"/>
  </r>
  <r>
    <s v="ORD-11734"/>
    <x v="390"/>
    <s v="Clara Romano"/>
    <x v="1"/>
    <x v="8"/>
    <x v="1"/>
    <x v="0"/>
    <x v="3"/>
    <n v="3"/>
    <n v="72.81"/>
    <x v="3"/>
    <n v="196.59"/>
    <n v="11.86"/>
    <n v="64.59"/>
    <x v="1"/>
  </r>
  <r>
    <s v="ORD-10082"/>
    <x v="391"/>
    <s v="Priya Williams"/>
    <x v="0"/>
    <x v="13"/>
    <x v="0"/>
    <x v="3"/>
    <x v="27"/>
    <n v="2"/>
    <n v="69.05"/>
    <x v="6"/>
    <n v="103.57"/>
    <n v="8.58"/>
    <n v="25.94"/>
    <x v="1"/>
  </r>
  <r>
    <s v="ORD-10361"/>
    <x v="391"/>
    <s v="Lucas Brown"/>
    <x v="2"/>
    <x v="0"/>
    <x v="0"/>
    <x v="1"/>
    <x v="17"/>
    <n v="5"/>
    <n v="6.24"/>
    <x v="3"/>
    <n v="28.08"/>
    <n v="11.46"/>
    <n v="2.58"/>
    <x v="1"/>
  </r>
  <r>
    <s v="ORD-10515"/>
    <x v="391"/>
    <s v="Oscar Thompson"/>
    <x v="2"/>
    <x v="17"/>
    <x v="3"/>
    <x v="2"/>
    <x v="4"/>
    <n v="1"/>
    <n v="137.49"/>
    <x v="2"/>
    <n v="116.87"/>
    <n v="10.119999999999999"/>
    <n v="24.26"/>
    <x v="2"/>
  </r>
  <r>
    <s v="ORD-10640"/>
    <x v="391"/>
    <s v="Wei Rodriguez"/>
    <x v="1"/>
    <x v="5"/>
    <x v="3"/>
    <x v="2"/>
    <x v="36"/>
    <n v="2"/>
    <n v="242.25"/>
    <x v="3"/>
    <n v="436.05"/>
    <n v="10.98"/>
    <n v="134.37"/>
    <x v="1"/>
  </r>
  <r>
    <s v="ORD-11108"/>
    <x v="391"/>
    <s v="Carlos Robinson"/>
    <x v="0"/>
    <x v="18"/>
    <x v="4"/>
    <x v="0"/>
    <x v="1"/>
    <n v="1"/>
    <n v="128.34"/>
    <x v="2"/>
    <n v="109.09"/>
    <n v="11.04"/>
    <n v="27.46"/>
    <x v="3"/>
  </r>
  <r>
    <s v="ORD-11297"/>
    <x v="391"/>
    <s v="Jessica Martin"/>
    <x v="1"/>
    <x v="17"/>
    <x v="3"/>
    <x v="2"/>
    <x v="21"/>
    <n v="4"/>
    <n v="34.76"/>
    <x v="2"/>
    <n v="118.18"/>
    <n v="17.86"/>
    <n v="16.899999999999999"/>
    <x v="2"/>
  </r>
  <r>
    <s v="ORD-10804"/>
    <x v="392"/>
    <s v="Jamal Khan"/>
    <x v="0"/>
    <x v="7"/>
    <x v="4"/>
    <x v="0"/>
    <x v="28"/>
    <n v="2"/>
    <n v="52.77"/>
    <x v="5"/>
    <n v="73.88"/>
    <n v="14.69"/>
    <n v="1.1399999999999999"/>
    <x v="1"/>
  </r>
  <r>
    <s v="ORD-10342"/>
    <x v="393"/>
    <s v="Lucas Russo"/>
    <x v="2"/>
    <x v="13"/>
    <x v="0"/>
    <x v="0"/>
    <x v="29"/>
    <n v="1"/>
    <n v="28.72"/>
    <x v="4"/>
    <n v="27.28"/>
    <n v="6.34"/>
    <n v="5.14"/>
    <x v="3"/>
  </r>
  <r>
    <s v="ORD-10366"/>
    <x v="394"/>
    <s v="Amir Li"/>
    <x v="1"/>
    <x v="13"/>
    <x v="0"/>
    <x v="2"/>
    <x v="4"/>
    <n v="3"/>
    <n v="264.57"/>
    <x v="4"/>
    <n v="754.02"/>
    <n v="9.64"/>
    <n v="268.14999999999998"/>
    <x v="2"/>
  </r>
  <r>
    <s v="ORD-10456"/>
    <x v="394"/>
    <s v="Wei Martinez"/>
    <x v="0"/>
    <x v="3"/>
    <x v="1"/>
    <x v="3"/>
    <x v="11"/>
    <n v="3"/>
    <n v="85.33"/>
    <x v="2"/>
    <n v="217.59"/>
    <n v="12.17"/>
    <n v="77.42"/>
    <x v="1"/>
  </r>
  <r>
    <s v="ORD-10732"/>
    <x v="394"/>
    <s v="Lucas Russo"/>
    <x v="2"/>
    <x v="3"/>
    <x v="1"/>
    <x v="0"/>
    <x v="29"/>
    <n v="10"/>
    <n v="39.28"/>
    <x v="3"/>
    <n v="353.52"/>
    <n v="31.89"/>
    <n v="105.59"/>
    <x v="1"/>
  </r>
  <r>
    <s v="ORD-11025"/>
    <x v="394"/>
    <s v="Patricia Weber"/>
    <x v="1"/>
    <x v="2"/>
    <x v="0"/>
    <x v="1"/>
    <x v="10"/>
    <n v="2"/>
    <n v="6.14"/>
    <x v="0"/>
    <n v="12.28"/>
    <n v="9"/>
    <n v="-2.25"/>
    <x v="3"/>
  </r>
  <r>
    <s v="ORD-11198"/>
    <x v="394"/>
    <s v="Olivia Williams"/>
    <x v="1"/>
    <x v="17"/>
    <x v="3"/>
    <x v="0"/>
    <x v="1"/>
    <n v="5"/>
    <n v="77.16"/>
    <x v="4"/>
    <n v="366.51"/>
    <n v="19.79"/>
    <n v="134.53"/>
    <x v="1"/>
  </r>
  <r>
    <s v="ORD-10167"/>
    <x v="395"/>
    <s v="Amina Harris"/>
    <x v="0"/>
    <x v="10"/>
    <x v="3"/>
    <x v="1"/>
    <x v="10"/>
    <n v="3"/>
    <n v="5.66"/>
    <x v="3"/>
    <n v="15.28"/>
    <n v="12.07"/>
    <n v="-4.43"/>
    <x v="2"/>
  </r>
  <r>
    <s v="ORD-10355"/>
    <x v="395"/>
    <s v="Nadia Costa"/>
    <x v="1"/>
    <x v="13"/>
    <x v="0"/>
    <x v="2"/>
    <x v="8"/>
    <n v="4"/>
    <n v="112.68"/>
    <x v="0"/>
    <n v="450.72"/>
    <n v="12.94"/>
    <n v="167.35"/>
    <x v="3"/>
  </r>
  <r>
    <s v="ORD-11414"/>
    <x v="395"/>
    <s v="Amir Yamamoto"/>
    <x v="1"/>
    <x v="8"/>
    <x v="1"/>
    <x v="0"/>
    <x v="22"/>
    <n v="2"/>
    <n v="72.3"/>
    <x v="3"/>
    <n v="130.13999999999999"/>
    <n v="11.95"/>
    <n v="38.659999999999997"/>
    <x v="1"/>
  </r>
  <r>
    <s v="ORD-10056"/>
    <x v="396"/>
    <s v="Wei Patel"/>
    <x v="1"/>
    <x v="5"/>
    <x v="3"/>
    <x v="0"/>
    <x v="7"/>
    <n v="2"/>
    <n v="33.61"/>
    <x v="3"/>
    <n v="60.5"/>
    <n v="11.88"/>
    <n v="11.65"/>
    <x v="1"/>
  </r>
  <r>
    <s v="ORD-10373"/>
    <x v="397"/>
    <s v="Oscar Kim"/>
    <x v="0"/>
    <x v="15"/>
    <x v="2"/>
    <x v="1"/>
    <x v="19"/>
    <n v="3"/>
    <n v="8.1300000000000008"/>
    <x v="2"/>
    <n v="20.73"/>
    <n v="14.66"/>
    <n v="-4.91"/>
    <x v="2"/>
  </r>
  <r>
    <s v="ORD-10728"/>
    <x v="397"/>
    <s v="Layla Thomas"/>
    <x v="0"/>
    <x v="9"/>
    <x v="3"/>
    <x v="0"/>
    <x v="29"/>
    <n v="3"/>
    <n v="37.590000000000003"/>
    <x v="2"/>
    <n v="95.85"/>
    <n v="10.77"/>
    <n v="23.06"/>
    <x v="1"/>
  </r>
  <r>
    <s v="ORD-10072"/>
    <x v="398"/>
    <s v="Maria Anderson"/>
    <x v="1"/>
    <x v="10"/>
    <x v="3"/>
    <x v="2"/>
    <x v="8"/>
    <n v="3"/>
    <n v="52.88"/>
    <x v="0"/>
    <n v="158.63999999999999"/>
    <n v="12.03"/>
    <n v="51.43"/>
    <x v="1"/>
  </r>
  <r>
    <s v="ORD-10049"/>
    <x v="399"/>
    <s v="Priya Leroy"/>
    <x v="1"/>
    <x v="18"/>
    <x v="4"/>
    <x v="1"/>
    <x v="38"/>
    <n v="1"/>
    <n v="9.5500000000000007"/>
    <x v="4"/>
    <n v="9.07"/>
    <n v="11.92"/>
    <n v="-7.15"/>
    <x v="2"/>
  </r>
  <r>
    <s v="ORD-11626"/>
    <x v="399"/>
    <s v="Kenji Anderson"/>
    <x v="0"/>
    <x v="10"/>
    <x v="3"/>
    <x v="3"/>
    <x v="13"/>
    <n v="10"/>
    <n v="99.39"/>
    <x v="0"/>
    <n v="993.9"/>
    <n v="21.95"/>
    <n v="475"/>
    <x v="0"/>
  </r>
  <r>
    <s v="ORD-10147"/>
    <x v="400"/>
    <s v="Raj Rodriguez"/>
    <x v="1"/>
    <x v="5"/>
    <x v="3"/>
    <x v="0"/>
    <x v="31"/>
    <n v="1"/>
    <n v="76.11"/>
    <x v="0"/>
    <n v="76.11"/>
    <n v="10.16"/>
    <n v="24.09"/>
    <x v="2"/>
  </r>
  <r>
    <s v="ORD-10721"/>
    <x v="400"/>
    <s v="Sarah Robinson"/>
    <x v="1"/>
    <x v="4"/>
    <x v="2"/>
    <x v="0"/>
    <x v="1"/>
    <n v="1"/>
    <n v="57.26"/>
    <x v="1"/>
    <n v="45.81"/>
    <n v="12.91"/>
    <n v="1.41"/>
    <x v="1"/>
  </r>
  <r>
    <s v="ORD-11448"/>
    <x v="400"/>
    <s v="Jessica Yamamoto"/>
    <x v="0"/>
    <x v="5"/>
    <x v="3"/>
    <x v="3"/>
    <x v="24"/>
    <n v="2"/>
    <n v="42.93"/>
    <x v="4"/>
    <n v="81.569999999999993"/>
    <n v="13.52"/>
    <n v="25.12"/>
    <x v="0"/>
  </r>
  <r>
    <s v="ORD-11817"/>
    <x v="400"/>
    <s v="Ava Harris"/>
    <x v="1"/>
    <x v="3"/>
    <x v="1"/>
    <x v="0"/>
    <x v="29"/>
    <n v="4"/>
    <n v="37.01"/>
    <x v="0"/>
    <n v="148.04"/>
    <n v="12.78"/>
    <n v="53.84"/>
    <x v="1"/>
  </r>
  <r>
    <s v="ORD-11735"/>
    <x v="401"/>
    <s v="James Ahmed"/>
    <x v="0"/>
    <x v="0"/>
    <x v="0"/>
    <x v="3"/>
    <x v="9"/>
    <n v="5"/>
    <n v="57.38"/>
    <x v="0"/>
    <n v="286.89999999999998"/>
    <n v="10.15"/>
    <n v="133.30000000000001"/>
    <x v="0"/>
  </r>
  <r>
    <s v="ORD-10900"/>
    <x v="402"/>
    <s v="Olga Thompson"/>
    <x v="1"/>
    <x v="1"/>
    <x v="1"/>
    <x v="3"/>
    <x v="30"/>
    <n v="1"/>
    <n v="20.52"/>
    <x v="4"/>
    <n v="19.489999999999998"/>
    <n v="7.58"/>
    <n v="1.65"/>
    <x v="2"/>
  </r>
  <r>
    <s v="ORD-11104"/>
    <x v="402"/>
    <s v="Zara White"/>
    <x v="1"/>
    <x v="11"/>
    <x v="2"/>
    <x v="1"/>
    <x v="25"/>
    <n v="5"/>
    <n v="10.88"/>
    <x v="4"/>
    <n v="51.68"/>
    <n v="16.95"/>
    <n v="10.25"/>
    <x v="1"/>
  </r>
  <r>
    <s v="ORD-11572"/>
    <x v="403"/>
    <s v="Priya Kumar"/>
    <x v="1"/>
    <x v="8"/>
    <x v="1"/>
    <x v="3"/>
    <x v="27"/>
    <n v="3"/>
    <n v="66.48"/>
    <x v="0"/>
    <n v="199.44"/>
    <n v="9.0500000000000007"/>
    <n v="90.67"/>
    <x v="2"/>
  </r>
  <r>
    <s v="ORD-11924"/>
    <x v="403"/>
    <s v="Ethan Kumar"/>
    <x v="0"/>
    <x v="2"/>
    <x v="0"/>
    <x v="0"/>
    <x v="29"/>
    <n v="8"/>
    <n v="32.31"/>
    <x v="2"/>
    <n v="219.71"/>
    <n v="18.899999999999999"/>
    <n v="58.65"/>
    <x v="1"/>
  </r>
  <r>
    <s v="ORD-10835"/>
    <x v="404"/>
    <s v="Ingrid MÃ¼ller"/>
    <x v="0"/>
    <x v="0"/>
    <x v="0"/>
    <x v="1"/>
    <x v="2"/>
    <n v="4"/>
    <n v="12.42"/>
    <x v="2"/>
    <n v="42.23"/>
    <n v="13.37"/>
    <n v="6.5"/>
    <x v="1"/>
  </r>
  <r>
    <s v="ORD-11432"/>
    <x v="404"/>
    <s v="Mia Sharma"/>
    <x v="1"/>
    <x v="3"/>
    <x v="1"/>
    <x v="0"/>
    <x v="7"/>
    <n v="2"/>
    <n v="54.24"/>
    <x v="3"/>
    <n v="97.63"/>
    <n v="9.9700000000000006"/>
    <n v="28"/>
    <x v="1"/>
  </r>
  <r>
    <s v="ORD-11877"/>
    <x v="404"/>
    <s v="Karen Ferrari"/>
    <x v="1"/>
    <x v="0"/>
    <x v="0"/>
    <x v="2"/>
    <x v="34"/>
    <n v="1"/>
    <n v="49.78"/>
    <x v="2"/>
    <n v="42.31"/>
    <n v="6.63"/>
    <n v="5.81"/>
    <x v="2"/>
  </r>
  <r>
    <s v="ORD-10224"/>
    <x v="405"/>
    <s v="Sophie Schmidt"/>
    <x v="1"/>
    <x v="18"/>
    <x v="4"/>
    <x v="0"/>
    <x v="18"/>
    <n v="3"/>
    <n v="26.2"/>
    <x v="3"/>
    <n v="70.739999999999995"/>
    <n v="15.66"/>
    <n v="11.85"/>
    <x v="1"/>
  </r>
  <r>
    <s v="ORD-11144"/>
    <x v="405"/>
    <s v="Sakura Smith"/>
    <x v="0"/>
    <x v="2"/>
    <x v="0"/>
    <x v="3"/>
    <x v="13"/>
    <n v="8"/>
    <n v="50.94"/>
    <x v="2"/>
    <n v="346.39"/>
    <n v="11.7"/>
    <n v="130.93"/>
    <x v="1"/>
  </r>
  <r>
    <s v="ORD-10169"/>
    <x v="406"/>
    <s v="Hanna Robinson"/>
    <x v="1"/>
    <x v="3"/>
    <x v="1"/>
    <x v="2"/>
    <x v="34"/>
    <n v="6"/>
    <n v="26.58"/>
    <x v="1"/>
    <n v="127.58"/>
    <n v="17.7"/>
    <n v="14.19"/>
    <x v="2"/>
  </r>
  <r>
    <s v="ORD-10396"/>
    <x v="406"/>
    <s v="John Laurent"/>
    <x v="1"/>
    <x v="8"/>
    <x v="1"/>
    <x v="2"/>
    <x v="36"/>
    <n v="1"/>
    <n v="296.60000000000002"/>
    <x v="4"/>
    <n v="281.77"/>
    <n v="9.0299999999999994"/>
    <n v="94.78"/>
    <x v="0"/>
  </r>
  <r>
    <s v="ORD-11152"/>
    <x v="406"/>
    <s v="Jessica Russo"/>
    <x v="2"/>
    <x v="17"/>
    <x v="3"/>
    <x v="2"/>
    <x v="36"/>
    <n v="6"/>
    <n v="151.62"/>
    <x v="0"/>
    <n v="909.72"/>
    <n v="15.6"/>
    <n v="348.29"/>
    <x v="0"/>
  </r>
  <r>
    <s v="ORD-11650"/>
    <x v="406"/>
    <s v="Mary Garcia"/>
    <x v="2"/>
    <x v="0"/>
    <x v="0"/>
    <x v="3"/>
    <x v="27"/>
    <n v="3"/>
    <n v="34.369999999999997"/>
    <x v="3"/>
    <n v="92.8"/>
    <n v="11.23"/>
    <n v="30.02"/>
    <x v="2"/>
  </r>
  <r>
    <s v="ORD-10582"/>
    <x v="407"/>
    <s v="Robert Thompson"/>
    <x v="0"/>
    <x v="9"/>
    <x v="3"/>
    <x v="1"/>
    <x v="20"/>
    <n v="2"/>
    <n v="10.26"/>
    <x v="0"/>
    <n v="20.52"/>
    <n v="12.54"/>
    <n v="-1.25"/>
    <x v="1"/>
  </r>
  <r>
    <s v="ORD-11696"/>
    <x v="408"/>
    <s v="Sophie Martin"/>
    <x v="0"/>
    <x v="13"/>
    <x v="0"/>
    <x v="0"/>
    <x v="1"/>
    <n v="5"/>
    <n v="128.41"/>
    <x v="5"/>
    <n v="449.43"/>
    <n v="13.49"/>
    <n v="82.81"/>
    <x v="1"/>
  </r>
  <r>
    <s v="ORD-10796"/>
    <x v="409"/>
    <s v="David Smith"/>
    <x v="1"/>
    <x v="11"/>
    <x v="2"/>
    <x v="0"/>
    <x v="35"/>
    <n v="3"/>
    <n v="21.23"/>
    <x v="4"/>
    <n v="60.51"/>
    <n v="18.059999999999999"/>
    <n v="7.42"/>
    <x v="1"/>
  </r>
  <r>
    <s v="ORD-11791"/>
    <x v="409"/>
    <s v="Mia Jones"/>
    <x v="0"/>
    <x v="17"/>
    <x v="3"/>
    <x v="1"/>
    <x v="2"/>
    <n v="3"/>
    <n v="5.26"/>
    <x v="4"/>
    <n v="14.99"/>
    <n v="12.25"/>
    <n v="-4.3600000000000003"/>
    <x v="1"/>
  </r>
  <r>
    <s v="ORD-10104"/>
    <x v="410"/>
    <s v="Olivia Wang"/>
    <x v="1"/>
    <x v="9"/>
    <x v="3"/>
    <x v="1"/>
    <x v="38"/>
    <n v="4"/>
    <n v="9.24"/>
    <x v="4"/>
    <n v="35.11"/>
    <n v="18.34"/>
    <n v="0.14000000000000001"/>
    <x v="1"/>
  </r>
  <r>
    <s v="ORD-10291"/>
    <x v="411"/>
    <s v="Emma Dubois"/>
    <x v="2"/>
    <x v="1"/>
    <x v="1"/>
    <x v="0"/>
    <x v="3"/>
    <n v="2"/>
    <n v="88.23"/>
    <x v="0"/>
    <n v="176.46"/>
    <n v="9.65"/>
    <n v="69.760000000000005"/>
    <x v="3"/>
  </r>
  <r>
    <s v="ORD-10016"/>
    <x v="412"/>
    <s v="Richard Brown"/>
    <x v="1"/>
    <x v="8"/>
    <x v="1"/>
    <x v="0"/>
    <x v="31"/>
    <n v="2"/>
    <n v="111.78"/>
    <x v="0"/>
    <n v="223.56"/>
    <n v="9"/>
    <n v="91.6"/>
    <x v="0"/>
  </r>
  <r>
    <s v="ORD-10359"/>
    <x v="412"/>
    <s v="Marco Santos"/>
    <x v="1"/>
    <x v="2"/>
    <x v="0"/>
    <x v="2"/>
    <x v="14"/>
    <n v="13"/>
    <n v="201.56"/>
    <x v="0"/>
    <n v="2620.2800000000002"/>
    <n v="30.62"/>
    <n v="1017.49"/>
    <x v="1"/>
  </r>
  <r>
    <s v="ORD-10989"/>
    <x v="412"/>
    <s v="David Laurent"/>
    <x v="1"/>
    <x v="0"/>
    <x v="0"/>
    <x v="3"/>
    <x v="33"/>
    <n v="1"/>
    <n v="48.43"/>
    <x v="1"/>
    <n v="38.74"/>
    <n v="6.96"/>
    <n v="7.57"/>
    <x v="1"/>
  </r>
  <r>
    <s v="ORD-11568"/>
    <x v="412"/>
    <s v="James Brown"/>
    <x v="1"/>
    <x v="3"/>
    <x v="1"/>
    <x v="1"/>
    <x v="2"/>
    <n v="3"/>
    <n v="9.99"/>
    <x v="3"/>
    <n v="26.97"/>
    <n v="8.52"/>
    <n v="4.96"/>
    <x v="2"/>
  </r>
  <r>
    <s v="ORD-11021"/>
    <x v="413"/>
    <s v="Oscar Anderson"/>
    <x v="0"/>
    <x v="17"/>
    <x v="3"/>
    <x v="3"/>
    <x v="33"/>
    <n v="1"/>
    <n v="51.37"/>
    <x v="0"/>
    <n v="51.37"/>
    <n v="11.26"/>
    <n v="14.42"/>
    <x v="2"/>
  </r>
  <r>
    <s v="ORD-11160"/>
    <x v="413"/>
    <s v="Clara Romano"/>
    <x v="1"/>
    <x v="17"/>
    <x v="3"/>
    <x v="1"/>
    <x v="25"/>
    <n v="2"/>
    <n v="14.19"/>
    <x v="3"/>
    <n v="25.54"/>
    <n v="10.01"/>
    <n v="2.76"/>
    <x v="1"/>
  </r>
  <r>
    <s v="ORD-11462"/>
    <x v="413"/>
    <s v="Amina Russo"/>
    <x v="0"/>
    <x v="17"/>
    <x v="3"/>
    <x v="3"/>
    <x v="13"/>
    <n v="4"/>
    <n v="59.09"/>
    <x v="4"/>
    <n v="224.54"/>
    <n v="11.63"/>
    <n v="94.73"/>
    <x v="0"/>
  </r>
  <r>
    <s v="ORD-10631"/>
    <x v="414"/>
    <s v="Michael Ferrari"/>
    <x v="1"/>
    <x v="5"/>
    <x v="3"/>
    <x v="2"/>
    <x v="39"/>
    <n v="1"/>
    <n v="114"/>
    <x v="0"/>
    <n v="114"/>
    <n v="9.5299999999999994"/>
    <n v="36.07"/>
    <x v="3"/>
  </r>
  <r>
    <s v="ORD-10936"/>
    <x v="414"/>
    <s v="Jamal Williams"/>
    <x v="0"/>
    <x v="3"/>
    <x v="1"/>
    <x v="0"/>
    <x v="29"/>
    <n v="1"/>
    <n v="38.44"/>
    <x v="0"/>
    <n v="38.44"/>
    <n v="8.19"/>
    <n v="9.11"/>
    <x v="2"/>
  </r>
  <r>
    <s v="ORD-11287"/>
    <x v="414"/>
    <s v="James White"/>
    <x v="0"/>
    <x v="11"/>
    <x v="2"/>
    <x v="0"/>
    <x v="0"/>
    <n v="8"/>
    <n v="171.31"/>
    <x v="3"/>
    <n v="1233.43"/>
    <n v="22.94"/>
    <n v="456.73"/>
    <x v="0"/>
  </r>
  <r>
    <s v="ORD-10059"/>
    <x v="415"/>
    <s v="William Ferrari"/>
    <x v="1"/>
    <x v="19"/>
    <x v="1"/>
    <x v="0"/>
    <x v="1"/>
    <n v="6"/>
    <n v="175.05"/>
    <x v="3"/>
    <n v="945.27"/>
    <n v="21.41"/>
    <n v="346.19"/>
    <x v="0"/>
  </r>
  <r>
    <s v="ORD-10335"/>
    <x v="415"/>
    <s v="Olivia Davis"/>
    <x v="2"/>
    <x v="7"/>
    <x v="4"/>
    <x v="1"/>
    <x v="2"/>
    <n v="5"/>
    <n v="11.19"/>
    <x v="2"/>
    <n v="47.56"/>
    <n v="22.11"/>
    <n v="0.27"/>
    <x v="2"/>
  </r>
  <r>
    <s v="ORD-10595"/>
    <x v="415"/>
    <s v="Richard Johnson"/>
    <x v="1"/>
    <x v="15"/>
    <x v="2"/>
    <x v="0"/>
    <x v="35"/>
    <n v="2"/>
    <n v="31.92"/>
    <x v="0"/>
    <n v="63.84"/>
    <n v="13.33"/>
    <n v="15.4"/>
    <x v="3"/>
  </r>
  <r>
    <s v="ORD-10614"/>
    <x v="415"/>
    <s v="Lucas Williams"/>
    <x v="0"/>
    <x v="19"/>
    <x v="1"/>
    <x v="2"/>
    <x v="32"/>
    <n v="3"/>
    <n v="35.49"/>
    <x v="0"/>
    <n v="106.47"/>
    <n v="13.63"/>
    <n v="28.96"/>
    <x v="3"/>
  </r>
  <r>
    <s v="ORD-10790"/>
    <x v="415"/>
    <s v="Emma Nilsson"/>
    <x v="0"/>
    <x v="5"/>
    <x v="3"/>
    <x v="0"/>
    <x v="31"/>
    <n v="2"/>
    <n v="71.92"/>
    <x v="4"/>
    <n v="136.65"/>
    <n v="13.71"/>
    <n v="43.83"/>
    <x v="2"/>
  </r>
  <r>
    <s v="ORD-11173"/>
    <x v="415"/>
    <s v="Barbara Ali"/>
    <x v="2"/>
    <x v="9"/>
    <x v="3"/>
    <x v="1"/>
    <x v="12"/>
    <n v="9"/>
    <n v="20.69"/>
    <x v="0"/>
    <n v="186.21"/>
    <n v="22.07"/>
    <n v="80.349999999999994"/>
    <x v="1"/>
  </r>
  <r>
    <s v="ORD-11324"/>
    <x v="415"/>
    <s v="Omar Nilsson"/>
    <x v="1"/>
    <x v="1"/>
    <x v="1"/>
    <x v="0"/>
    <x v="22"/>
    <n v="15"/>
    <n v="142.85"/>
    <x v="3"/>
    <n v="1928.48"/>
    <n v="22.72"/>
    <n v="727.25"/>
    <x v="0"/>
  </r>
  <r>
    <s v="ORD-10364"/>
    <x v="416"/>
    <s v="Yuki Johnson"/>
    <x v="0"/>
    <x v="14"/>
    <x v="1"/>
    <x v="3"/>
    <x v="9"/>
    <n v="3"/>
    <n v="50.33"/>
    <x v="3"/>
    <n v="135.88999999999999"/>
    <n v="11.44"/>
    <n v="48.95"/>
    <x v="2"/>
  </r>
  <r>
    <s v="ORD-10445"/>
    <x v="416"/>
    <s v="Giulia Miller"/>
    <x v="1"/>
    <x v="2"/>
    <x v="0"/>
    <x v="1"/>
    <x v="6"/>
    <n v="1"/>
    <n v="23.24"/>
    <x v="3"/>
    <n v="20.92"/>
    <n v="7.37"/>
    <n v="3.09"/>
    <x v="2"/>
  </r>
  <r>
    <s v="ORD-10584"/>
    <x v="416"/>
    <s v="Fatima Smith"/>
    <x v="1"/>
    <x v="12"/>
    <x v="4"/>
    <x v="3"/>
    <x v="37"/>
    <n v="6"/>
    <n v="79.95"/>
    <x v="0"/>
    <n v="479.7"/>
    <n v="23.09"/>
    <n v="216.76"/>
    <x v="1"/>
  </r>
  <r>
    <s v="ORD-11658"/>
    <x v="417"/>
    <s v="Hanna Kim"/>
    <x v="1"/>
    <x v="6"/>
    <x v="2"/>
    <x v="1"/>
    <x v="20"/>
    <n v="1"/>
    <n v="14.73"/>
    <x v="0"/>
    <n v="14.73"/>
    <n v="12.36"/>
    <n v="-4.26"/>
    <x v="1"/>
  </r>
  <r>
    <s v="ORD-11765"/>
    <x v="417"/>
    <s v="Emma Weber"/>
    <x v="0"/>
    <x v="7"/>
    <x v="4"/>
    <x v="1"/>
    <x v="17"/>
    <n v="4"/>
    <n v="15.35"/>
    <x v="3"/>
    <n v="55.26"/>
    <n v="13.12"/>
    <n v="14.51"/>
    <x v="0"/>
  </r>
  <r>
    <s v="ORD-10441"/>
    <x v="418"/>
    <s v="Susan Kumar"/>
    <x v="1"/>
    <x v="13"/>
    <x v="0"/>
    <x v="0"/>
    <x v="0"/>
    <n v="1"/>
    <n v="171.98"/>
    <x v="3"/>
    <n v="154.78"/>
    <n v="7.29"/>
    <n v="52.9"/>
    <x v="1"/>
  </r>
  <r>
    <s v="ORD-10898"/>
    <x v="419"/>
    <s v="Diego Schmidt"/>
    <x v="1"/>
    <x v="15"/>
    <x v="2"/>
    <x v="2"/>
    <x v="32"/>
    <n v="1"/>
    <n v="67.180000000000007"/>
    <x v="0"/>
    <n v="67.180000000000007"/>
    <n v="12.09"/>
    <n v="14.78"/>
    <x v="2"/>
  </r>
  <r>
    <s v="ORD-11164"/>
    <x v="419"/>
    <s v="Sophie Weber"/>
    <x v="1"/>
    <x v="0"/>
    <x v="0"/>
    <x v="0"/>
    <x v="35"/>
    <n v="5"/>
    <n v="27.93"/>
    <x v="2"/>
    <n v="118.7"/>
    <n v="14.98"/>
    <n v="26.91"/>
    <x v="2"/>
  </r>
  <r>
    <s v="ORD-11588"/>
    <x v="420"/>
    <s v="Joseph Martinez"/>
    <x v="1"/>
    <x v="10"/>
    <x v="3"/>
    <x v="1"/>
    <x v="17"/>
    <n v="2"/>
    <n v="8.6199999999999992"/>
    <x v="2"/>
    <n v="14.65"/>
    <n v="10.07"/>
    <n v="-3.18"/>
    <x v="1"/>
  </r>
  <r>
    <s v="ORD-11686"/>
    <x v="421"/>
    <s v="Li Khan"/>
    <x v="2"/>
    <x v="14"/>
    <x v="1"/>
    <x v="2"/>
    <x v="21"/>
    <n v="7"/>
    <n v="77.63"/>
    <x v="2"/>
    <n v="461.9"/>
    <n v="11.64"/>
    <n v="124.21"/>
    <x v="1"/>
  </r>
  <r>
    <s v="ORD-10117"/>
    <x v="422"/>
    <s v="Nadia Pereira"/>
    <x v="1"/>
    <x v="17"/>
    <x v="3"/>
    <x v="1"/>
    <x v="17"/>
    <n v="2"/>
    <n v="18.62"/>
    <x v="3"/>
    <n v="33.520000000000003"/>
    <n v="12.51"/>
    <n v="4.25"/>
    <x v="3"/>
  </r>
  <r>
    <s v="ORD-11074"/>
    <x v="422"/>
    <s v="Wei Taylor"/>
    <x v="2"/>
    <x v="9"/>
    <x v="3"/>
    <x v="2"/>
    <x v="4"/>
    <n v="2"/>
    <n v="205.48"/>
    <x v="4"/>
    <n v="390.41"/>
    <n v="12.79"/>
    <n v="131.04"/>
    <x v="1"/>
  </r>
  <r>
    <s v="ORD-10345"/>
    <x v="423"/>
    <s v="Michael Yamamoto"/>
    <x v="1"/>
    <x v="0"/>
    <x v="0"/>
    <x v="2"/>
    <x v="4"/>
    <n v="2"/>
    <n v="212.46"/>
    <x v="4"/>
    <n v="403.67"/>
    <n v="8.24"/>
    <n v="140.47999999999999"/>
    <x v="0"/>
  </r>
  <r>
    <s v="ORD-11815"/>
    <x v="423"/>
    <s v="Joseph Johansson"/>
    <x v="1"/>
    <x v="2"/>
    <x v="0"/>
    <x v="2"/>
    <x v="36"/>
    <n v="2"/>
    <n v="232.65"/>
    <x v="0"/>
    <n v="465.3"/>
    <n v="6.74"/>
    <n v="179.38"/>
    <x v="1"/>
  </r>
  <r>
    <s v="ORD-10157"/>
    <x v="424"/>
    <s v="Xiao Kumar"/>
    <x v="2"/>
    <x v="10"/>
    <x v="3"/>
    <x v="3"/>
    <x v="26"/>
    <n v="1"/>
    <n v="33.979999999999997"/>
    <x v="4"/>
    <n v="32.28"/>
    <n v="9.6300000000000008"/>
    <n v="5.66"/>
    <x v="0"/>
  </r>
  <r>
    <s v="ORD-11803"/>
    <x v="425"/>
    <s v="Wei Costa"/>
    <x v="2"/>
    <x v="12"/>
    <x v="4"/>
    <x v="3"/>
    <x v="37"/>
    <n v="1"/>
    <n v="47.83"/>
    <x v="1"/>
    <n v="38.26"/>
    <n v="10.96"/>
    <n v="3.38"/>
    <x v="1"/>
  </r>
  <r>
    <s v="ORD-10734"/>
    <x v="426"/>
    <s v="Elizabeth Taylor"/>
    <x v="0"/>
    <x v="3"/>
    <x v="1"/>
    <x v="1"/>
    <x v="38"/>
    <n v="1"/>
    <n v="10.5"/>
    <x v="0"/>
    <n v="10.5"/>
    <n v="8.64"/>
    <n v="-2.87"/>
    <x v="1"/>
  </r>
  <r>
    <s v="ORD-10302"/>
    <x v="427"/>
    <s v="Emma Tanaka"/>
    <x v="2"/>
    <x v="12"/>
    <x v="4"/>
    <x v="2"/>
    <x v="32"/>
    <n v="3"/>
    <n v="26.36"/>
    <x v="2"/>
    <n v="67.22"/>
    <n v="14.59"/>
    <n v="5.18"/>
    <x v="2"/>
  </r>
  <r>
    <s v="ORD-11365"/>
    <x v="427"/>
    <s v="Olga Romano"/>
    <x v="1"/>
    <x v="13"/>
    <x v="0"/>
    <x v="3"/>
    <x v="27"/>
    <n v="3"/>
    <n v="63.86"/>
    <x v="4"/>
    <n v="182"/>
    <n v="10.77"/>
    <n v="75.44"/>
    <x v="2"/>
  </r>
  <r>
    <s v="ORD-11759"/>
    <x v="427"/>
    <s v="Amir Hassan"/>
    <x v="1"/>
    <x v="0"/>
    <x v="0"/>
    <x v="3"/>
    <x v="24"/>
    <n v="3"/>
    <n v="29.47"/>
    <x v="3"/>
    <n v="79.569999999999993"/>
    <n v="12.1"/>
    <n v="23.26"/>
    <x v="1"/>
  </r>
  <r>
    <s v="ORD-11750"/>
    <x v="428"/>
    <s v="Olga Robinson"/>
    <x v="1"/>
    <x v="0"/>
    <x v="0"/>
    <x v="3"/>
    <x v="27"/>
    <n v="1"/>
    <n v="26.54"/>
    <x v="4"/>
    <n v="25.21"/>
    <n v="6.91"/>
    <n v="5.03"/>
    <x v="0"/>
  </r>
  <r>
    <s v="ORD-10557"/>
    <x v="429"/>
    <s v="Joseph Russo"/>
    <x v="1"/>
    <x v="10"/>
    <x v="3"/>
    <x v="3"/>
    <x v="16"/>
    <n v="5"/>
    <n v="49.62"/>
    <x v="3"/>
    <n v="223.29"/>
    <n v="20.46"/>
    <n v="78.78"/>
    <x v="0"/>
  </r>
  <r>
    <s v="ORD-10897"/>
    <x v="429"/>
    <s v="Karen Smith"/>
    <x v="1"/>
    <x v="7"/>
    <x v="4"/>
    <x v="0"/>
    <x v="29"/>
    <n v="3"/>
    <n v="44.11"/>
    <x v="0"/>
    <n v="132.33000000000001"/>
    <n v="13.19"/>
    <n v="46.36"/>
    <x v="1"/>
  </r>
  <r>
    <s v="ORD-11738"/>
    <x v="429"/>
    <s v="Chen Tanaka"/>
    <x v="0"/>
    <x v="5"/>
    <x v="3"/>
    <x v="0"/>
    <x v="35"/>
    <n v="4"/>
    <n v="65.92"/>
    <x v="2"/>
    <n v="224.13"/>
    <n v="12.79"/>
    <n v="66.319999999999993"/>
    <x v="2"/>
  </r>
  <r>
    <s v="ORD-11737"/>
    <x v="430"/>
    <s v="Sarah Jackson"/>
    <x v="0"/>
    <x v="15"/>
    <x v="2"/>
    <x v="0"/>
    <x v="31"/>
    <n v="2"/>
    <n v="187.45"/>
    <x v="2"/>
    <n v="318.66000000000003"/>
    <n v="15.26"/>
    <n v="97.21"/>
    <x v="0"/>
  </r>
  <r>
    <s v="ORD-10547"/>
    <x v="431"/>
    <s v="Olivia Pereira"/>
    <x v="2"/>
    <x v="0"/>
    <x v="0"/>
    <x v="3"/>
    <x v="27"/>
    <n v="1"/>
    <n v="41.69"/>
    <x v="4"/>
    <n v="39.61"/>
    <n v="5.53"/>
    <n v="13.23"/>
    <x v="2"/>
  </r>
  <r>
    <s v="ORD-10882"/>
    <x v="431"/>
    <s v="Yuki Thompson"/>
    <x v="2"/>
    <x v="13"/>
    <x v="0"/>
    <x v="1"/>
    <x v="10"/>
    <n v="2"/>
    <n v="3.65"/>
    <x v="4"/>
    <n v="6.93"/>
    <n v="9.09"/>
    <n v="-5.45"/>
    <x v="2"/>
  </r>
  <r>
    <s v="ORD-11303"/>
    <x v="431"/>
    <s v="Ahmed Singh"/>
    <x v="0"/>
    <x v="2"/>
    <x v="0"/>
    <x v="0"/>
    <x v="31"/>
    <n v="5"/>
    <n v="190.99"/>
    <x v="4"/>
    <n v="907.2"/>
    <n v="14.34"/>
    <n v="367.64"/>
    <x v="3"/>
  </r>
  <r>
    <s v="ORD-11882"/>
    <x v="432"/>
    <s v="Liam Kim"/>
    <x v="1"/>
    <x v="3"/>
    <x v="1"/>
    <x v="2"/>
    <x v="21"/>
    <n v="2"/>
    <n v="50.55"/>
    <x v="0"/>
    <n v="101.1"/>
    <n v="11.26"/>
    <n v="29.18"/>
    <x v="2"/>
  </r>
  <r>
    <s v="ORD-10227"/>
    <x v="433"/>
    <s v="Linda Suzuki"/>
    <x v="0"/>
    <x v="13"/>
    <x v="0"/>
    <x v="3"/>
    <x v="37"/>
    <n v="5"/>
    <n v="61.44"/>
    <x v="4"/>
    <n v="291.83999999999997"/>
    <n v="10.220000000000001"/>
    <n v="128.02000000000001"/>
    <x v="1"/>
  </r>
  <r>
    <s v="ORD-10556"/>
    <x v="433"/>
    <s v="Pierre Jackson"/>
    <x v="0"/>
    <x v="12"/>
    <x v="4"/>
    <x v="2"/>
    <x v="5"/>
    <n v="6"/>
    <n v="84.46"/>
    <x v="3"/>
    <n v="456.08"/>
    <n v="22.68"/>
    <n v="129.34"/>
    <x v="1"/>
  </r>
  <r>
    <s v="ORD-10884"/>
    <x v="433"/>
    <s v="Barbara Dubois"/>
    <x v="0"/>
    <x v="13"/>
    <x v="0"/>
    <x v="0"/>
    <x v="7"/>
    <n v="4"/>
    <n v="53.44"/>
    <x v="3"/>
    <n v="192.38"/>
    <n v="10.74"/>
    <n v="64.069999999999993"/>
    <x v="1"/>
  </r>
  <r>
    <s v="ORD-11188"/>
    <x v="434"/>
    <s v="Xiao Johnson"/>
    <x v="1"/>
    <x v="2"/>
    <x v="0"/>
    <x v="3"/>
    <x v="37"/>
    <n v="2"/>
    <n v="39.409999999999997"/>
    <x v="4"/>
    <n v="74.88"/>
    <n v="8.06"/>
    <n v="27.41"/>
    <x v="2"/>
  </r>
  <r>
    <s v="ORD-11340"/>
    <x v="434"/>
    <s v="Carlos Thompson"/>
    <x v="1"/>
    <x v="12"/>
    <x v="4"/>
    <x v="0"/>
    <x v="0"/>
    <n v="1"/>
    <n v="214.3"/>
    <x v="4"/>
    <n v="203.59"/>
    <n v="11.22"/>
    <n v="74.5"/>
    <x v="1"/>
  </r>
  <r>
    <s v="ORD-11325"/>
    <x v="435"/>
    <s v="Olga Suzuki"/>
    <x v="1"/>
    <x v="13"/>
    <x v="0"/>
    <x v="0"/>
    <x v="22"/>
    <n v="6"/>
    <n v="88.33"/>
    <x v="4"/>
    <n v="503.48"/>
    <n v="13.32"/>
    <n v="198.67"/>
    <x v="2"/>
  </r>
  <r>
    <s v="ORD-11447"/>
    <x v="435"/>
    <s v="Ali Sato"/>
    <x v="0"/>
    <x v="13"/>
    <x v="0"/>
    <x v="3"/>
    <x v="24"/>
    <n v="2"/>
    <n v="73.45"/>
    <x v="4"/>
    <n v="139.56"/>
    <n v="6.29"/>
    <n v="59.82"/>
    <x v="0"/>
  </r>
  <r>
    <s v="ORD-10822"/>
    <x v="436"/>
    <s v="Ethan Johnson"/>
    <x v="2"/>
    <x v="17"/>
    <x v="3"/>
    <x v="3"/>
    <x v="11"/>
    <n v="1"/>
    <n v="47.32"/>
    <x v="3"/>
    <n v="42.59"/>
    <n v="10.74"/>
    <n v="8.19"/>
    <x v="0"/>
  </r>
  <r>
    <s v="ORD-11747"/>
    <x v="436"/>
    <s v="Ava Patel"/>
    <x v="2"/>
    <x v="4"/>
    <x v="2"/>
    <x v="3"/>
    <x v="27"/>
    <n v="2"/>
    <n v="34.14"/>
    <x v="4"/>
    <n v="64.87"/>
    <n v="13.94"/>
    <n v="16.79"/>
    <x v="2"/>
  </r>
  <r>
    <s v="ORD-11084"/>
    <x v="437"/>
    <s v="Sakura MÃ¼ller"/>
    <x v="0"/>
    <x v="1"/>
    <x v="1"/>
    <x v="2"/>
    <x v="5"/>
    <n v="1"/>
    <n v="141.5"/>
    <x v="0"/>
    <n v="141.5"/>
    <n v="7.9"/>
    <n v="48.7"/>
    <x v="1"/>
  </r>
  <r>
    <s v="ORD-10983"/>
    <x v="438"/>
    <s v="Nadia Zhang"/>
    <x v="1"/>
    <x v="17"/>
    <x v="3"/>
    <x v="2"/>
    <x v="34"/>
    <n v="9"/>
    <n v="55.5"/>
    <x v="4"/>
    <n v="474.52"/>
    <n v="19.93"/>
    <n v="154.88999999999999"/>
    <x v="0"/>
  </r>
  <r>
    <s v="ORD-11777"/>
    <x v="438"/>
    <s v="Nadia Anderson"/>
    <x v="1"/>
    <x v="1"/>
    <x v="1"/>
    <x v="1"/>
    <x v="38"/>
    <n v="3"/>
    <n v="8.11"/>
    <x v="2"/>
    <n v="20.68"/>
    <n v="14.26"/>
    <n v="-4.53"/>
    <x v="2"/>
  </r>
  <r>
    <s v="ORD-10278"/>
    <x v="439"/>
    <s v="Marco Sharma"/>
    <x v="1"/>
    <x v="12"/>
    <x v="4"/>
    <x v="2"/>
    <x v="4"/>
    <n v="7"/>
    <n v="303.29000000000002"/>
    <x v="2"/>
    <n v="1804.58"/>
    <n v="18.54"/>
    <n v="512.22"/>
    <x v="2"/>
  </r>
  <r>
    <s v="ORD-11466"/>
    <x v="439"/>
    <s v="Oscar Miller"/>
    <x v="0"/>
    <x v="6"/>
    <x v="2"/>
    <x v="0"/>
    <x v="3"/>
    <n v="1"/>
    <n v="68.39"/>
    <x v="1"/>
    <n v="54.71"/>
    <n v="12.38"/>
    <n v="4.72"/>
    <x v="3"/>
  </r>
  <r>
    <s v="ORD-11816"/>
    <x v="439"/>
    <s v="Omar Russo"/>
    <x v="1"/>
    <x v="5"/>
    <x v="3"/>
    <x v="1"/>
    <x v="2"/>
    <n v="2"/>
    <n v="9.7200000000000006"/>
    <x v="3"/>
    <n v="17.5"/>
    <n v="12.92"/>
    <n v="-4.17"/>
    <x v="2"/>
  </r>
  <r>
    <s v="ORD-10144"/>
    <x v="440"/>
    <s v="Carlos Schmidt"/>
    <x v="2"/>
    <x v="19"/>
    <x v="1"/>
    <x v="1"/>
    <x v="19"/>
    <n v="2"/>
    <n v="14.53"/>
    <x v="4"/>
    <n v="27.61"/>
    <n v="11.77"/>
    <n v="2.76"/>
    <x v="0"/>
  </r>
  <r>
    <s v="ORD-10012"/>
    <x v="441"/>
    <s v="Thomas Rodriguez"/>
    <x v="0"/>
    <x v="18"/>
    <x v="4"/>
    <x v="2"/>
    <x v="8"/>
    <n v="1"/>
    <n v="78.08"/>
    <x v="3"/>
    <n v="70.27"/>
    <n v="11.96"/>
    <n v="11.46"/>
    <x v="1"/>
  </r>
  <r>
    <s v="ORD-11415"/>
    <x v="441"/>
    <s v="Nadia Davis"/>
    <x v="2"/>
    <x v="2"/>
    <x v="0"/>
    <x v="1"/>
    <x v="23"/>
    <n v="5"/>
    <n v="9.5399999999999991"/>
    <x v="0"/>
    <n v="47.7"/>
    <n v="11.65"/>
    <n v="14.59"/>
    <x v="1"/>
  </r>
  <r>
    <s v="ORD-11265"/>
    <x v="442"/>
    <s v="Maria Hassan"/>
    <x v="1"/>
    <x v="19"/>
    <x v="1"/>
    <x v="2"/>
    <x v="36"/>
    <n v="3"/>
    <n v="122.5"/>
    <x v="0"/>
    <n v="367.5"/>
    <n v="9.35"/>
    <n v="137.65"/>
    <x v="1"/>
  </r>
  <r>
    <s v="ORD-11311"/>
    <x v="442"/>
    <s v="Sophie Li"/>
    <x v="1"/>
    <x v="9"/>
    <x v="3"/>
    <x v="2"/>
    <x v="32"/>
    <n v="2"/>
    <n v="33.340000000000003"/>
    <x v="0"/>
    <n v="66.680000000000007"/>
    <n v="11.35"/>
    <n v="15.32"/>
    <x v="1"/>
  </r>
  <r>
    <s v="ORD-11688"/>
    <x v="443"/>
    <s v="Hans Schmidt"/>
    <x v="1"/>
    <x v="2"/>
    <x v="0"/>
    <x v="1"/>
    <x v="2"/>
    <n v="8"/>
    <n v="14.05"/>
    <x v="0"/>
    <n v="112.4"/>
    <n v="18.760000000000002"/>
    <n v="43.06"/>
    <x v="2"/>
  </r>
  <r>
    <s v="ORD-10121"/>
    <x v="444"/>
    <s v="Maria Weber"/>
    <x v="0"/>
    <x v="1"/>
    <x v="1"/>
    <x v="3"/>
    <x v="37"/>
    <n v="3"/>
    <n v="22.89"/>
    <x v="1"/>
    <n v="54.94"/>
    <n v="11.77"/>
    <n v="8.83"/>
    <x v="1"/>
  </r>
  <r>
    <s v="ORD-11099"/>
    <x v="444"/>
    <s v="Priya Robinson"/>
    <x v="1"/>
    <x v="2"/>
    <x v="0"/>
    <x v="3"/>
    <x v="16"/>
    <n v="1"/>
    <n v="52.83"/>
    <x v="3"/>
    <n v="47.55"/>
    <n v="6.13"/>
    <n v="15"/>
    <x v="1"/>
  </r>
  <r>
    <s v="ORD-11660"/>
    <x v="445"/>
    <s v="Fatima Robinson"/>
    <x v="0"/>
    <x v="19"/>
    <x v="1"/>
    <x v="0"/>
    <x v="35"/>
    <n v="2"/>
    <n v="28.41"/>
    <x v="3"/>
    <n v="51.14"/>
    <n v="9.34"/>
    <n v="10.55"/>
    <x v="1"/>
  </r>
  <r>
    <s v="ORD-11768"/>
    <x v="445"/>
    <s v="Joseph Singh"/>
    <x v="1"/>
    <x v="3"/>
    <x v="1"/>
    <x v="3"/>
    <x v="30"/>
    <n v="1"/>
    <n v="23.88"/>
    <x v="4"/>
    <n v="22.69"/>
    <n v="9.01"/>
    <n v="1.74"/>
    <x v="1"/>
  </r>
  <r>
    <s v="ORD-10513"/>
    <x v="446"/>
    <s v="Maria Rossi"/>
    <x v="1"/>
    <x v="10"/>
    <x v="3"/>
    <x v="3"/>
    <x v="30"/>
    <n v="6"/>
    <n v="25.8"/>
    <x v="1"/>
    <n v="123.84"/>
    <n v="23.22"/>
    <n v="23.22"/>
    <x v="3"/>
  </r>
  <r>
    <s v="ORD-11850"/>
    <x v="446"/>
    <s v="Omar Williams"/>
    <x v="1"/>
    <x v="2"/>
    <x v="0"/>
    <x v="2"/>
    <x v="4"/>
    <n v="7"/>
    <n v="157.04"/>
    <x v="0"/>
    <n v="1099.28"/>
    <n v="10.119999999999999"/>
    <n v="429.59"/>
    <x v="1"/>
  </r>
  <r>
    <s v="ORD-11411"/>
    <x v="447"/>
    <s v="Raj Weber"/>
    <x v="1"/>
    <x v="1"/>
    <x v="1"/>
    <x v="1"/>
    <x v="17"/>
    <n v="2"/>
    <n v="21.15"/>
    <x v="0"/>
    <n v="42.3"/>
    <n v="9.48"/>
    <n v="13.78"/>
    <x v="2"/>
  </r>
  <r>
    <s v="ORD-11498"/>
    <x v="447"/>
    <s v="Omar Rodriguez"/>
    <x v="0"/>
    <x v="10"/>
    <x v="3"/>
    <x v="1"/>
    <x v="20"/>
    <n v="2"/>
    <n v="16.71"/>
    <x v="3"/>
    <n v="30.08"/>
    <n v="13.99"/>
    <n v="1.05"/>
    <x v="1"/>
  </r>
  <r>
    <s v="ORD-11352"/>
    <x v="448"/>
    <s v="Ayumi Moreau"/>
    <x v="1"/>
    <x v="1"/>
    <x v="1"/>
    <x v="1"/>
    <x v="38"/>
    <n v="4"/>
    <n v="4.42"/>
    <x v="4"/>
    <n v="16.8"/>
    <n v="13.49"/>
    <n v="-4.6500000000000004"/>
    <x v="1"/>
  </r>
  <r>
    <s v="ORD-10257"/>
    <x v="449"/>
    <s v="Sarah Clark"/>
    <x v="2"/>
    <x v="19"/>
    <x v="1"/>
    <x v="1"/>
    <x v="23"/>
    <n v="1"/>
    <n v="15.39"/>
    <x v="0"/>
    <n v="15.39"/>
    <n v="9.15"/>
    <n v="-0.69"/>
    <x v="3"/>
  </r>
  <r>
    <s v="ORD-10261"/>
    <x v="449"/>
    <s v="Li Oliveira"/>
    <x v="1"/>
    <x v="0"/>
    <x v="0"/>
    <x v="1"/>
    <x v="12"/>
    <n v="5"/>
    <n v="8.34"/>
    <x v="2"/>
    <n v="35.450000000000003"/>
    <n v="7.59"/>
    <n v="9.1"/>
    <x v="0"/>
  </r>
  <r>
    <s v="ORD-10581"/>
    <x v="449"/>
    <s v="Pierre Weber"/>
    <x v="0"/>
    <x v="8"/>
    <x v="1"/>
    <x v="0"/>
    <x v="35"/>
    <n v="1"/>
    <n v="47.66"/>
    <x v="0"/>
    <n v="47.66"/>
    <n v="8.77"/>
    <n v="12.68"/>
    <x v="0"/>
  </r>
  <r>
    <s v="ORD-10691"/>
    <x v="449"/>
    <s v="Felix Ahmed"/>
    <x v="1"/>
    <x v="14"/>
    <x v="1"/>
    <x v="0"/>
    <x v="35"/>
    <n v="2"/>
    <n v="52.81"/>
    <x v="0"/>
    <n v="105.62"/>
    <n v="10.99"/>
    <n v="36.54"/>
    <x v="1"/>
  </r>
  <r>
    <s v="ORD-11189"/>
    <x v="449"/>
    <s v="Clara Tanaka"/>
    <x v="0"/>
    <x v="0"/>
    <x v="0"/>
    <x v="2"/>
    <x v="34"/>
    <n v="1"/>
    <n v="31.63"/>
    <x v="4"/>
    <n v="30.05"/>
    <n v="5.84"/>
    <n v="5.23"/>
    <x v="2"/>
  </r>
  <r>
    <s v="ORD-10275"/>
    <x v="450"/>
    <s v="Mary Clark"/>
    <x v="1"/>
    <x v="2"/>
    <x v="0"/>
    <x v="1"/>
    <x v="20"/>
    <n v="7"/>
    <n v="11.86"/>
    <x v="4"/>
    <n v="78.87"/>
    <n v="17.149999999999999"/>
    <n v="24.36"/>
    <x v="1"/>
  </r>
  <r>
    <s v="ORD-11450"/>
    <x v="450"/>
    <s v="Li Rossi"/>
    <x v="0"/>
    <x v="1"/>
    <x v="1"/>
    <x v="0"/>
    <x v="28"/>
    <n v="1"/>
    <n v="24.66"/>
    <x v="1"/>
    <n v="19.73"/>
    <n v="8.64"/>
    <n v="-2.4700000000000002"/>
    <x v="1"/>
  </r>
  <r>
    <s v="ORD-11559"/>
    <x v="450"/>
    <s v="Felix Smith"/>
    <x v="1"/>
    <x v="2"/>
    <x v="0"/>
    <x v="1"/>
    <x v="20"/>
    <n v="8"/>
    <n v="19.36"/>
    <x v="3"/>
    <n v="139.38999999999999"/>
    <n v="9.27"/>
    <n v="60.42"/>
    <x v="1"/>
  </r>
  <r>
    <s v="ORD-11225"/>
    <x v="451"/>
    <s v="Christopher Brown"/>
    <x v="0"/>
    <x v="13"/>
    <x v="0"/>
    <x v="0"/>
    <x v="35"/>
    <n v="3"/>
    <n v="42.03"/>
    <x v="3"/>
    <n v="113.48"/>
    <n v="6.85"/>
    <n v="37.28"/>
    <x v="0"/>
  </r>
  <r>
    <s v="ORD-11636"/>
    <x v="451"/>
    <s v="Ingrid Davis"/>
    <x v="1"/>
    <x v="12"/>
    <x v="4"/>
    <x v="0"/>
    <x v="29"/>
    <n v="5"/>
    <n v="17.3"/>
    <x v="2"/>
    <n v="73.52"/>
    <n v="16.43"/>
    <n v="9.51"/>
    <x v="0"/>
  </r>
  <r>
    <s v="ORD-11706"/>
    <x v="452"/>
    <s v="Priya Oliveira"/>
    <x v="1"/>
    <x v="8"/>
    <x v="1"/>
    <x v="2"/>
    <x v="15"/>
    <n v="10"/>
    <n v="305.38"/>
    <x v="4"/>
    <n v="2901.11"/>
    <n v="14.57"/>
    <n v="1054.26"/>
    <x v="1"/>
  </r>
  <r>
    <s v="ORD-10222"/>
    <x v="453"/>
    <s v="Hanna White"/>
    <x v="1"/>
    <x v="19"/>
    <x v="1"/>
    <x v="3"/>
    <x v="11"/>
    <n v="3"/>
    <n v="59.82"/>
    <x v="1"/>
    <n v="143.57"/>
    <n v="9.58"/>
    <n v="44.26"/>
    <x v="3"/>
  </r>
  <r>
    <s v="ORD-10385"/>
    <x v="453"/>
    <s v="Michael Schmidt"/>
    <x v="0"/>
    <x v="13"/>
    <x v="0"/>
    <x v="1"/>
    <x v="17"/>
    <n v="1"/>
    <n v="19.829999999999998"/>
    <x v="1"/>
    <n v="15.86"/>
    <n v="6.8"/>
    <n v="0.14000000000000001"/>
    <x v="1"/>
  </r>
  <r>
    <s v="ORD-11508"/>
    <x v="453"/>
    <s v="Ivan Ahmed"/>
    <x v="2"/>
    <x v="0"/>
    <x v="0"/>
    <x v="3"/>
    <x v="24"/>
    <n v="2"/>
    <n v="86.73"/>
    <x v="3"/>
    <n v="156.11000000000001"/>
    <n v="9.75"/>
    <n v="59.63"/>
    <x v="1"/>
  </r>
  <r>
    <s v="ORD-10641"/>
    <x v="454"/>
    <s v="Sophie Clark"/>
    <x v="1"/>
    <x v="14"/>
    <x v="1"/>
    <x v="3"/>
    <x v="9"/>
    <n v="11"/>
    <n v="19"/>
    <x v="4"/>
    <n v="198.55"/>
    <n v="16.190000000000001"/>
    <n v="77.86"/>
    <x v="2"/>
  </r>
  <r>
    <s v="ORD-11587"/>
    <x v="454"/>
    <s v="Amina Clark"/>
    <x v="2"/>
    <x v="13"/>
    <x v="0"/>
    <x v="3"/>
    <x v="24"/>
    <n v="5"/>
    <n v="28.49"/>
    <x v="2"/>
    <n v="121.08"/>
    <n v="15.04"/>
    <n v="34.82"/>
    <x v="2"/>
  </r>
  <r>
    <s v="ORD-10095"/>
    <x v="455"/>
    <s v="Karen Anderson"/>
    <x v="0"/>
    <x v="0"/>
    <x v="0"/>
    <x v="2"/>
    <x v="36"/>
    <n v="2"/>
    <n v="191.99"/>
    <x v="4"/>
    <n v="364.78"/>
    <n v="9.02"/>
    <n v="125.37"/>
    <x v="1"/>
  </r>
  <r>
    <s v="ORD-11444"/>
    <x v="455"/>
    <s v="Hans Fischer"/>
    <x v="1"/>
    <x v="10"/>
    <x v="3"/>
    <x v="1"/>
    <x v="23"/>
    <n v="3"/>
    <n v="9.42"/>
    <x v="0"/>
    <n v="28.26"/>
    <n v="15.8"/>
    <n v="-0.26"/>
    <x v="2"/>
  </r>
  <r>
    <s v="ORD-11549"/>
    <x v="455"/>
    <s v="Priya Jones"/>
    <x v="1"/>
    <x v="10"/>
    <x v="3"/>
    <x v="0"/>
    <x v="1"/>
    <n v="2"/>
    <n v="70.739999999999995"/>
    <x v="2"/>
    <n v="120.26"/>
    <n v="13.36"/>
    <n v="29.09"/>
    <x v="2"/>
  </r>
  <r>
    <s v="ORD-10516"/>
    <x v="456"/>
    <s v="Olga Suzuki"/>
    <x v="0"/>
    <x v="0"/>
    <x v="0"/>
    <x v="0"/>
    <x v="22"/>
    <n v="2"/>
    <n v="131.07"/>
    <x v="3"/>
    <n v="235.93"/>
    <n v="8.58"/>
    <n v="83.17"/>
    <x v="1"/>
  </r>
  <r>
    <s v="ORD-10586"/>
    <x v="457"/>
    <s v="Olivia Patel"/>
    <x v="1"/>
    <x v="10"/>
    <x v="3"/>
    <x v="0"/>
    <x v="3"/>
    <n v="3"/>
    <n v="50.5"/>
    <x v="3"/>
    <n v="136.35"/>
    <n v="10.6"/>
    <n v="42.42"/>
    <x v="2"/>
  </r>
  <r>
    <s v="ORD-10664"/>
    <x v="458"/>
    <s v="John Ferrari"/>
    <x v="1"/>
    <x v="8"/>
    <x v="1"/>
    <x v="3"/>
    <x v="11"/>
    <n v="6"/>
    <n v="68.260000000000005"/>
    <x v="4"/>
    <n v="389.08"/>
    <n v="18.45"/>
    <n v="165.85"/>
    <x v="1"/>
  </r>
  <r>
    <s v="ORD-11142"/>
    <x v="458"/>
    <s v="Ayumi Harris"/>
    <x v="1"/>
    <x v="8"/>
    <x v="1"/>
    <x v="2"/>
    <x v="21"/>
    <n v="1"/>
    <n v="95.79"/>
    <x v="2"/>
    <n v="81.42"/>
    <n v="8.9700000000000006"/>
    <n v="14.98"/>
    <x v="3"/>
  </r>
  <r>
    <s v="ORD-10824"/>
    <x v="459"/>
    <s v="Pierre Rodriguez"/>
    <x v="2"/>
    <x v="2"/>
    <x v="0"/>
    <x v="0"/>
    <x v="1"/>
    <n v="2"/>
    <n v="150.27000000000001"/>
    <x v="3"/>
    <n v="270.49"/>
    <n v="6.15"/>
    <n v="99.04"/>
    <x v="1"/>
  </r>
  <r>
    <s v="ORD-11343"/>
    <x v="459"/>
    <s v="Amina Romano"/>
    <x v="0"/>
    <x v="11"/>
    <x v="2"/>
    <x v="3"/>
    <x v="33"/>
    <n v="1"/>
    <n v="25.15"/>
    <x v="1"/>
    <n v="20.12"/>
    <n v="13.22"/>
    <n v="-5.67"/>
    <x v="0"/>
  </r>
  <r>
    <s v="ORD-11639"/>
    <x v="459"/>
    <s v="Mia White"/>
    <x v="0"/>
    <x v="13"/>
    <x v="0"/>
    <x v="2"/>
    <x v="5"/>
    <n v="3"/>
    <n v="153.49"/>
    <x v="6"/>
    <n v="345.35"/>
    <n v="8.01"/>
    <n v="61.06"/>
    <x v="1"/>
  </r>
  <r>
    <s v="ORD-10131"/>
    <x v="460"/>
    <s v="Ali Oliveira"/>
    <x v="1"/>
    <x v="2"/>
    <x v="0"/>
    <x v="0"/>
    <x v="22"/>
    <n v="1"/>
    <n v="115.3"/>
    <x v="3"/>
    <n v="103.77"/>
    <n v="6.68"/>
    <n v="33.67"/>
    <x v="2"/>
  </r>
  <r>
    <s v="ORD-10253"/>
    <x v="461"/>
    <s v="David Garcia"/>
    <x v="1"/>
    <x v="19"/>
    <x v="1"/>
    <x v="2"/>
    <x v="15"/>
    <n v="4"/>
    <n v="425.29"/>
    <x v="4"/>
    <n v="1616.1"/>
    <n v="12.36"/>
    <n v="583.04"/>
    <x v="2"/>
  </r>
  <r>
    <s v="ORD-11402"/>
    <x v="461"/>
    <s v="Li Davis"/>
    <x v="2"/>
    <x v="0"/>
    <x v="0"/>
    <x v="0"/>
    <x v="18"/>
    <n v="1"/>
    <n v="44.59"/>
    <x v="0"/>
    <n v="44.59"/>
    <n v="7.24"/>
    <n v="12.83"/>
    <x v="0"/>
  </r>
  <r>
    <s v="ORD-11398"/>
    <x v="462"/>
    <s v="Mary Rodriguez"/>
    <x v="1"/>
    <x v="0"/>
    <x v="0"/>
    <x v="3"/>
    <x v="33"/>
    <n v="1"/>
    <n v="23.76"/>
    <x v="3"/>
    <n v="21.38"/>
    <n v="6.5"/>
    <n v="3"/>
    <x v="0"/>
  </r>
  <r>
    <s v="ORD-11857"/>
    <x v="463"/>
    <s v="Mia Romano"/>
    <x v="0"/>
    <x v="9"/>
    <x v="3"/>
    <x v="0"/>
    <x v="0"/>
    <n v="3"/>
    <n v="215.99"/>
    <x v="3"/>
    <n v="583.16999999999996"/>
    <n v="14.33"/>
    <n v="212.46"/>
    <x v="2"/>
  </r>
  <r>
    <s v="ORD-11690"/>
    <x v="464"/>
    <s v="William Chen"/>
    <x v="0"/>
    <x v="19"/>
    <x v="1"/>
    <x v="1"/>
    <x v="19"/>
    <n v="6"/>
    <n v="13.61"/>
    <x v="4"/>
    <n v="77.58"/>
    <n v="20.53"/>
    <n v="20.3"/>
    <x v="2"/>
  </r>
  <r>
    <s v="ORD-10909"/>
    <x v="465"/>
    <s v="Clara Leroy"/>
    <x v="1"/>
    <x v="10"/>
    <x v="3"/>
    <x v="2"/>
    <x v="34"/>
    <n v="4"/>
    <n v="43.36"/>
    <x v="3"/>
    <n v="156.1"/>
    <n v="16.059999999999999"/>
    <n v="35.979999999999997"/>
    <x v="2"/>
  </r>
  <r>
    <s v="ORD-10138"/>
    <x v="466"/>
    <s v="Ali Jones"/>
    <x v="1"/>
    <x v="1"/>
    <x v="1"/>
    <x v="3"/>
    <x v="11"/>
    <n v="1"/>
    <n v="84.43"/>
    <x v="6"/>
    <n v="63.32"/>
    <n v="8.2899999999999991"/>
    <n v="12.81"/>
    <x v="3"/>
  </r>
  <r>
    <s v="ORD-11165"/>
    <x v="466"/>
    <s v="Wei Sato"/>
    <x v="1"/>
    <x v="13"/>
    <x v="0"/>
    <x v="0"/>
    <x v="0"/>
    <n v="5"/>
    <n v="142.01"/>
    <x v="0"/>
    <n v="710.05"/>
    <n v="12.04"/>
    <n v="307.48"/>
    <x v="1"/>
  </r>
  <r>
    <s v="ORD-10340"/>
    <x v="467"/>
    <s v="Priya Weber"/>
    <x v="1"/>
    <x v="16"/>
    <x v="3"/>
    <x v="2"/>
    <x v="8"/>
    <n v="3"/>
    <n v="51.54"/>
    <x v="4"/>
    <n v="146.88999999999999"/>
    <n v="16.14"/>
    <n v="37.979999999999997"/>
    <x v="1"/>
  </r>
  <r>
    <s v="ORD-10388"/>
    <x v="467"/>
    <s v="Linda Patel"/>
    <x v="1"/>
    <x v="8"/>
    <x v="1"/>
    <x v="0"/>
    <x v="3"/>
    <n v="4"/>
    <n v="83.83"/>
    <x v="0"/>
    <n v="335.32"/>
    <n v="12.06"/>
    <n v="138.83000000000001"/>
    <x v="0"/>
  </r>
  <r>
    <s v="ORD-10868"/>
    <x v="467"/>
    <s v="Sakura Jones"/>
    <x v="0"/>
    <x v="0"/>
    <x v="0"/>
    <x v="0"/>
    <x v="29"/>
    <n v="5"/>
    <n v="19.09"/>
    <x v="3"/>
    <n v="85.91"/>
    <n v="15.16"/>
    <n v="18.25"/>
    <x v="1"/>
  </r>
  <r>
    <s v="ORD-11918"/>
    <x v="467"/>
    <s v="Robert Khan"/>
    <x v="1"/>
    <x v="13"/>
    <x v="0"/>
    <x v="0"/>
    <x v="28"/>
    <n v="1"/>
    <n v="42.3"/>
    <x v="1"/>
    <n v="33.840000000000003"/>
    <n v="5.91"/>
    <n v="4.67"/>
    <x v="1"/>
  </r>
  <r>
    <s v="ORD-10590"/>
    <x v="468"/>
    <s v="Hans White"/>
    <x v="2"/>
    <x v="18"/>
    <x v="4"/>
    <x v="2"/>
    <x v="8"/>
    <n v="1"/>
    <n v="58.82"/>
    <x v="2"/>
    <n v="50"/>
    <n v="11.29"/>
    <n v="3.42"/>
    <x v="0"/>
  </r>
  <r>
    <s v="ORD-11153"/>
    <x v="468"/>
    <s v="Sarah Chen"/>
    <x v="1"/>
    <x v="14"/>
    <x v="1"/>
    <x v="2"/>
    <x v="36"/>
    <n v="11"/>
    <n v="296.08"/>
    <x v="4"/>
    <n v="3094.04"/>
    <n v="23.46"/>
    <n v="1116.45"/>
    <x v="3"/>
  </r>
  <r>
    <s v="ORD-11654"/>
    <x v="469"/>
    <s v="Christopher Schmidt"/>
    <x v="1"/>
    <x v="13"/>
    <x v="0"/>
    <x v="2"/>
    <x v="36"/>
    <n v="1"/>
    <n v="264.5"/>
    <x v="6"/>
    <n v="198.38"/>
    <n v="7.24"/>
    <n v="32.44"/>
    <x v="1"/>
  </r>
  <r>
    <s v="ORD-11982"/>
    <x v="469"/>
    <s v="William Moreau"/>
    <x v="1"/>
    <x v="0"/>
    <x v="0"/>
    <x v="2"/>
    <x v="21"/>
    <n v="1"/>
    <n v="43.48"/>
    <x v="0"/>
    <n v="43.48"/>
    <n v="6.89"/>
    <n v="10.5"/>
    <x v="3"/>
  </r>
  <r>
    <s v="ORD-10263"/>
    <x v="470"/>
    <s v="Felix Romano"/>
    <x v="1"/>
    <x v="19"/>
    <x v="1"/>
    <x v="0"/>
    <x v="7"/>
    <n v="2"/>
    <n v="51.5"/>
    <x v="0"/>
    <n v="103"/>
    <n v="9.3000000000000007"/>
    <n v="37.049999999999997"/>
    <x v="1"/>
  </r>
  <r>
    <s v="ORD-10066"/>
    <x v="471"/>
    <s v="Hanna Ali"/>
    <x v="2"/>
    <x v="8"/>
    <x v="1"/>
    <x v="1"/>
    <x v="23"/>
    <n v="4"/>
    <n v="14.54"/>
    <x v="2"/>
    <n v="49.44"/>
    <n v="12.57"/>
    <n v="10.7"/>
    <x v="2"/>
  </r>
  <r>
    <s v="ORD-10799"/>
    <x v="472"/>
    <s v="Susan Schmidt"/>
    <x v="1"/>
    <x v="8"/>
    <x v="1"/>
    <x v="2"/>
    <x v="8"/>
    <n v="3"/>
    <n v="75.05"/>
    <x v="0"/>
    <n v="225.15"/>
    <n v="12.4"/>
    <n v="77.66"/>
    <x v="2"/>
  </r>
  <r>
    <s v="ORD-11203"/>
    <x v="472"/>
    <s v="Amir Ali"/>
    <x v="1"/>
    <x v="17"/>
    <x v="3"/>
    <x v="3"/>
    <x v="11"/>
    <n v="4"/>
    <n v="39.58"/>
    <x v="4"/>
    <n v="150.4"/>
    <n v="11.02"/>
    <n v="60.22"/>
    <x v="2"/>
  </r>
  <r>
    <s v="ORD-11849"/>
    <x v="473"/>
    <s v="Christopher Leroy"/>
    <x v="1"/>
    <x v="0"/>
    <x v="0"/>
    <x v="0"/>
    <x v="22"/>
    <n v="7"/>
    <n v="102.39"/>
    <x v="4"/>
    <n v="680.89"/>
    <n v="13.51"/>
    <n v="273.18"/>
    <x v="2"/>
  </r>
  <r>
    <s v="ORD-10867"/>
    <x v="474"/>
    <s v="Hans Hassan"/>
    <x v="0"/>
    <x v="12"/>
    <x v="4"/>
    <x v="3"/>
    <x v="37"/>
    <n v="2"/>
    <n v="54.24"/>
    <x v="2"/>
    <n v="92.21"/>
    <n v="12.61"/>
    <n v="25.36"/>
    <x v="1"/>
  </r>
  <r>
    <s v="ORD-11698"/>
    <x v="474"/>
    <s v="Layla Zhang"/>
    <x v="0"/>
    <x v="0"/>
    <x v="0"/>
    <x v="1"/>
    <x v="23"/>
    <n v="2"/>
    <n v="7.92"/>
    <x v="0"/>
    <n v="15.84"/>
    <n v="8.07"/>
    <n v="0.64"/>
    <x v="2"/>
  </r>
  <r>
    <s v="ORD-10213"/>
    <x v="475"/>
    <s v="Sarah Harris"/>
    <x v="1"/>
    <x v="2"/>
    <x v="0"/>
    <x v="1"/>
    <x v="6"/>
    <n v="4"/>
    <n v="22.41"/>
    <x v="4"/>
    <n v="85.16"/>
    <n v="11.14"/>
    <n v="33.68"/>
    <x v="2"/>
  </r>
  <r>
    <s v="ORD-10311"/>
    <x v="475"/>
    <s v="Noah Hassan"/>
    <x v="1"/>
    <x v="9"/>
    <x v="3"/>
    <x v="1"/>
    <x v="19"/>
    <n v="2"/>
    <n v="7.5"/>
    <x v="3"/>
    <n v="13.5"/>
    <n v="11.22"/>
    <n v="-4.47"/>
    <x v="2"/>
  </r>
  <r>
    <s v="ORD-11049"/>
    <x v="475"/>
    <s v="Priya Schmidt"/>
    <x v="1"/>
    <x v="10"/>
    <x v="3"/>
    <x v="0"/>
    <x v="28"/>
    <n v="1"/>
    <n v="34.53"/>
    <x v="0"/>
    <n v="34.53"/>
    <n v="10.15"/>
    <n v="5.39"/>
    <x v="2"/>
  </r>
  <r>
    <s v="ORD-10018"/>
    <x v="476"/>
    <s v="Amir Smith"/>
    <x v="2"/>
    <x v="13"/>
    <x v="0"/>
    <x v="2"/>
    <x v="21"/>
    <n v="3"/>
    <n v="76.33"/>
    <x v="0"/>
    <n v="228.99"/>
    <n v="7.81"/>
    <n v="83.79"/>
    <x v="1"/>
  </r>
  <r>
    <s v="ORD-10475"/>
    <x v="476"/>
    <s v="Chen Anderson"/>
    <x v="0"/>
    <x v="2"/>
    <x v="0"/>
    <x v="0"/>
    <x v="28"/>
    <n v="4"/>
    <n v="57.77"/>
    <x v="2"/>
    <n v="196.42"/>
    <n v="8.23"/>
    <n v="61.1"/>
    <x v="1"/>
  </r>
  <r>
    <s v="ORD-11726"/>
    <x v="477"/>
    <s v="Raj Patel"/>
    <x v="0"/>
    <x v="13"/>
    <x v="0"/>
    <x v="1"/>
    <x v="23"/>
    <n v="2"/>
    <n v="10.66"/>
    <x v="4"/>
    <n v="20.25"/>
    <n v="8.06"/>
    <n v="2.6"/>
    <x v="1"/>
  </r>
  <r>
    <s v="ORD-11892"/>
    <x v="477"/>
    <s v="Mary Oliveira"/>
    <x v="1"/>
    <x v="16"/>
    <x v="3"/>
    <x v="3"/>
    <x v="11"/>
    <n v="3"/>
    <n v="40.65"/>
    <x v="4"/>
    <n v="115.85"/>
    <n v="13.02"/>
    <n v="41.86"/>
    <x v="2"/>
  </r>
  <r>
    <s v="ORD-10294"/>
    <x v="478"/>
    <s v="Christopher Brown"/>
    <x v="0"/>
    <x v="0"/>
    <x v="0"/>
    <x v="1"/>
    <x v="20"/>
    <n v="4"/>
    <n v="17.75"/>
    <x v="4"/>
    <n v="67.45"/>
    <n v="13.03"/>
    <n v="22.47"/>
    <x v="1"/>
  </r>
  <r>
    <s v="ORD-10910"/>
    <x v="478"/>
    <s v="Felix White"/>
    <x v="2"/>
    <x v="3"/>
    <x v="1"/>
    <x v="3"/>
    <x v="9"/>
    <n v="7"/>
    <n v="22.85"/>
    <x v="4"/>
    <n v="151.94999999999999"/>
    <n v="10.55"/>
    <n v="61.42"/>
    <x v="3"/>
  </r>
  <r>
    <s v="ORD-10714"/>
    <x v="479"/>
    <s v="Hans Johnson"/>
    <x v="1"/>
    <x v="19"/>
    <x v="1"/>
    <x v="0"/>
    <x v="18"/>
    <n v="4"/>
    <n v="59.34"/>
    <x v="1"/>
    <n v="189.89"/>
    <n v="12.93"/>
    <n v="46.41"/>
    <x v="0"/>
  </r>
  <r>
    <s v="ORD-10716"/>
    <x v="479"/>
    <s v="Ivan Martinez"/>
    <x v="2"/>
    <x v="16"/>
    <x v="3"/>
    <x v="2"/>
    <x v="4"/>
    <n v="3"/>
    <n v="167.77"/>
    <x v="4"/>
    <n v="478.14"/>
    <n v="12.09"/>
    <n v="164.06"/>
    <x v="0"/>
  </r>
  <r>
    <s v="ORD-10810"/>
    <x v="480"/>
    <s v="Nadia Wang"/>
    <x v="1"/>
    <x v="6"/>
    <x v="2"/>
    <x v="0"/>
    <x v="29"/>
    <n v="3"/>
    <n v="24.66"/>
    <x v="3"/>
    <n v="66.58"/>
    <n v="14.37"/>
    <n v="11.52"/>
    <x v="2"/>
  </r>
  <r>
    <s v="ORD-10786"/>
    <x v="481"/>
    <s v="Jessica Suzuki"/>
    <x v="0"/>
    <x v="17"/>
    <x v="3"/>
    <x v="0"/>
    <x v="0"/>
    <n v="4"/>
    <n v="147.28"/>
    <x v="3"/>
    <n v="530.21"/>
    <n v="12.2"/>
    <n v="193.99"/>
    <x v="0"/>
  </r>
  <r>
    <s v="ORD-10919"/>
    <x v="481"/>
    <s v="Priya Ferrari"/>
    <x v="1"/>
    <x v="2"/>
    <x v="0"/>
    <x v="0"/>
    <x v="3"/>
    <n v="4"/>
    <n v="63.81"/>
    <x v="4"/>
    <n v="242.48"/>
    <n v="12.73"/>
    <n v="89.37"/>
    <x v="2"/>
  </r>
  <r>
    <s v="ORD-11751"/>
    <x v="481"/>
    <s v="Elizabeth Singh"/>
    <x v="2"/>
    <x v="2"/>
    <x v="0"/>
    <x v="1"/>
    <x v="17"/>
    <n v="1"/>
    <n v="9.65"/>
    <x v="3"/>
    <n v="8.69"/>
    <n v="5.86"/>
    <n v="-1.51"/>
    <x v="2"/>
  </r>
  <r>
    <s v="ORD-10058"/>
    <x v="482"/>
    <s v="Raj Santos"/>
    <x v="1"/>
    <x v="13"/>
    <x v="0"/>
    <x v="2"/>
    <x v="14"/>
    <n v="4"/>
    <n v="347.26"/>
    <x v="1"/>
    <n v="1111.23"/>
    <n v="11"/>
    <n v="266.81"/>
    <x v="2"/>
  </r>
  <r>
    <s v="ORD-11383"/>
    <x v="482"/>
    <s v="Thomas Wang"/>
    <x v="2"/>
    <x v="0"/>
    <x v="0"/>
    <x v="2"/>
    <x v="34"/>
    <n v="1"/>
    <n v="53.78"/>
    <x v="4"/>
    <n v="51.09"/>
    <n v="6.42"/>
    <n v="12.4"/>
    <x v="3"/>
  </r>
  <r>
    <s v="ORD-11622"/>
    <x v="482"/>
    <s v="Zara Anderson"/>
    <x v="0"/>
    <x v="8"/>
    <x v="1"/>
    <x v="0"/>
    <x v="31"/>
    <n v="3"/>
    <n v="104.66"/>
    <x v="0"/>
    <n v="313.98"/>
    <n v="9.5500000000000007"/>
    <n v="131.74"/>
    <x v="1"/>
  </r>
  <r>
    <s v="ORD-11976"/>
    <x v="482"/>
    <s v="Jennifer Anderson"/>
    <x v="0"/>
    <x v="2"/>
    <x v="0"/>
    <x v="1"/>
    <x v="25"/>
    <n v="5"/>
    <n v="8.93"/>
    <x v="1"/>
    <n v="35.72"/>
    <n v="9.26"/>
    <n v="6.37"/>
    <x v="2"/>
  </r>
  <r>
    <s v="ORD-11301"/>
    <x v="483"/>
    <s v="Emma Suzuki"/>
    <x v="1"/>
    <x v="16"/>
    <x v="3"/>
    <x v="1"/>
    <x v="25"/>
    <n v="2"/>
    <n v="17.940000000000001"/>
    <x v="0"/>
    <n v="35.880000000000003"/>
    <n v="12.85"/>
    <n v="6.88"/>
    <x v="0"/>
  </r>
  <r>
    <s v="ORD-11719"/>
    <x v="483"/>
    <s v="Sarah Patel"/>
    <x v="2"/>
    <x v="0"/>
    <x v="0"/>
    <x v="2"/>
    <x v="4"/>
    <n v="3"/>
    <n v="305.72000000000003"/>
    <x v="3"/>
    <n v="825.44"/>
    <n v="9.9600000000000009"/>
    <n v="265.18"/>
    <x v="2"/>
  </r>
  <r>
    <s v="ORD-10448"/>
    <x v="484"/>
    <s v="Lucas Moreau"/>
    <x v="2"/>
    <x v="3"/>
    <x v="1"/>
    <x v="1"/>
    <x v="20"/>
    <n v="10"/>
    <n v="13.76"/>
    <x v="3"/>
    <n v="123.84"/>
    <n v="17.98"/>
    <n v="43.94"/>
    <x v="1"/>
  </r>
  <r>
    <s v="ORD-10748"/>
    <x v="484"/>
    <s v="Richard Patel"/>
    <x v="1"/>
    <x v="9"/>
    <x v="3"/>
    <x v="3"/>
    <x v="26"/>
    <n v="3"/>
    <n v="20.47"/>
    <x v="4"/>
    <n v="58.34"/>
    <n v="11.67"/>
    <n v="15.97"/>
    <x v="2"/>
  </r>
  <r>
    <s v="ORD-11186"/>
    <x v="484"/>
    <s v="Karen Hassan"/>
    <x v="1"/>
    <x v="16"/>
    <x v="3"/>
    <x v="1"/>
    <x v="10"/>
    <n v="3"/>
    <n v="4.1100000000000003"/>
    <x v="0"/>
    <n v="12.33"/>
    <n v="14.51"/>
    <n v="-7.73"/>
    <x v="2"/>
  </r>
  <r>
    <s v="ORD-11446"/>
    <x v="484"/>
    <s v="Wei Suzuki"/>
    <x v="1"/>
    <x v="12"/>
    <x v="4"/>
    <x v="3"/>
    <x v="11"/>
    <n v="6"/>
    <n v="98"/>
    <x v="2"/>
    <n v="499.8"/>
    <n v="20.34"/>
    <n v="185.46"/>
    <x v="1"/>
  </r>
  <r>
    <s v="ORD-11697"/>
    <x v="484"/>
    <s v="Thomas Yamamoto"/>
    <x v="1"/>
    <x v="0"/>
    <x v="0"/>
    <x v="0"/>
    <x v="35"/>
    <n v="1"/>
    <n v="66.5"/>
    <x v="3"/>
    <n v="59.85"/>
    <n v="6.99"/>
    <n v="16.28"/>
    <x v="1"/>
  </r>
  <r>
    <s v="ORD-10315"/>
    <x v="485"/>
    <s v="Jamal Sharma"/>
    <x v="0"/>
    <x v="14"/>
    <x v="1"/>
    <x v="0"/>
    <x v="31"/>
    <n v="2"/>
    <n v="121.67"/>
    <x v="3"/>
    <n v="219.01"/>
    <n v="10.65"/>
    <n v="74.52"/>
    <x v="3"/>
  </r>
  <r>
    <s v="ORD-11942"/>
    <x v="485"/>
    <s v="Lucas Laurent"/>
    <x v="1"/>
    <x v="7"/>
    <x v="4"/>
    <x v="0"/>
    <x v="18"/>
    <n v="4"/>
    <n v="63.57"/>
    <x v="0"/>
    <n v="254.28"/>
    <n v="18.63"/>
    <n v="95.8"/>
    <x v="1"/>
  </r>
  <r>
    <s v="ORD-11094"/>
    <x v="486"/>
    <s v="Xiao Romano"/>
    <x v="0"/>
    <x v="2"/>
    <x v="0"/>
    <x v="1"/>
    <x v="19"/>
    <n v="4"/>
    <n v="10.58"/>
    <x v="4"/>
    <n v="40.200000000000003"/>
    <n v="14.1"/>
    <n v="7.06"/>
    <x v="3"/>
  </r>
  <r>
    <s v="ORD-10248"/>
    <x v="487"/>
    <s v="Amina Thomas"/>
    <x v="1"/>
    <x v="2"/>
    <x v="0"/>
    <x v="3"/>
    <x v="9"/>
    <n v="2"/>
    <n v="57.19"/>
    <x v="4"/>
    <n v="108.66"/>
    <n v="7.96"/>
    <n v="43.51"/>
    <x v="2"/>
  </r>
  <r>
    <s v="ORD-11240"/>
    <x v="487"/>
    <s v="Olga Li"/>
    <x v="0"/>
    <x v="16"/>
    <x v="3"/>
    <x v="1"/>
    <x v="10"/>
    <n v="2"/>
    <n v="9.18"/>
    <x v="2"/>
    <n v="15.61"/>
    <n v="12.05"/>
    <n v="-4.7"/>
    <x v="2"/>
  </r>
  <r>
    <s v="ORD-10818"/>
    <x v="488"/>
    <s v="Kenji Wang"/>
    <x v="1"/>
    <x v="1"/>
    <x v="1"/>
    <x v="3"/>
    <x v="26"/>
    <n v="2"/>
    <n v="32.020000000000003"/>
    <x v="3"/>
    <n v="57.64"/>
    <n v="10.01"/>
    <n v="15.61"/>
    <x v="1"/>
  </r>
  <r>
    <s v="ORD-11132"/>
    <x v="489"/>
    <s v="Jamal Nilsson"/>
    <x v="1"/>
    <x v="12"/>
    <x v="4"/>
    <x v="1"/>
    <x v="2"/>
    <n v="8"/>
    <n v="9.6"/>
    <x v="2"/>
    <n v="65.28"/>
    <n v="27.55"/>
    <n v="3.17"/>
    <x v="2"/>
  </r>
  <r>
    <s v="ORD-10608"/>
    <x v="490"/>
    <s v="Sophie Williams"/>
    <x v="0"/>
    <x v="16"/>
    <x v="3"/>
    <x v="1"/>
    <x v="17"/>
    <n v="4"/>
    <n v="9.9499999999999993"/>
    <x v="4"/>
    <n v="37.81"/>
    <n v="12.01"/>
    <n v="7.89"/>
    <x v="2"/>
  </r>
  <r>
    <s v="ORD-10629"/>
    <x v="490"/>
    <s v="Ahmed Anderson"/>
    <x v="2"/>
    <x v="5"/>
    <x v="3"/>
    <x v="0"/>
    <x v="18"/>
    <n v="4"/>
    <n v="33.42"/>
    <x v="0"/>
    <n v="133.68"/>
    <n v="13.19"/>
    <n v="46.97"/>
    <x v="2"/>
  </r>
  <r>
    <s v="ORD-11246"/>
    <x v="490"/>
    <s v="Felix Schmidt"/>
    <x v="0"/>
    <x v="13"/>
    <x v="0"/>
    <x v="0"/>
    <x v="1"/>
    <n v="1"/>
    <n v="132.41"/>
    <x v="3"/>
    <n v="119.17"/>
    <n v="6.65"/>
    <n v="39.69"/>
    <x v="1"/>
  </r>
  <r>
    <s v="ORD-10245"/>
    <x v="491"/>
    <s v="Hans Anderson"/>
    <x v="1"/>
    <x v="9"/>
    <x v="3"/>
    <x v="0"/>
    <x v="22"/>
    <n v="1"/>
    <n v="145.65"/>
    <x v="0"/>
    <n v="145.65"/>
    <n v="10.25"/>
    <n v="55.29"/>
    <x v="3"/>
  </r>
  <r>
    <s v="ORD-10613"/>
    <x v="491"/>
    <s v="Ingrid Martin"/>
    <x v="0"/>
    <x v="8"/>
    <x v="1"/>
    <x v="3"/>
    <x v="30"/>
    <n v="1"/>
    <n v="20.03"/>
    <x v="4"/>
    <n v="19.03"/>
    <n v="7.96"/>
    <n v="1.06"/>
    <x v="1"/>
  </r>
  <r>
    <s v="ORD-11635"/>
    <x v="491"/>
    <s v="Yuki Kim"/>
    <x v="0"/>
    <x v="0"/>
    <x v="0"/>
    <x v="3"/>
    <x v="37"/>
    <n v="3"/>
    <n v="74.989999999999995"/>
    <x v="0"/>
    <n v="224.97"/>
    <n v="11.37"/>
    <n v="101.12"/>
    <x v="1"/>
  </r>
  <r>
    <s v="ORD-10108"/>
    <x v="492"/>
    <s v="Diego Thomas"/>
    <x v="1"/>
    <x v="0"/>
    <x v="0"/>
    <x v="3"/>
    <x v="27"/>
    <n v="3"/>
    <n v="45.38"/>
    <x v="3"/>
    <n v="122.53"/>
    <n v="9.66"/>
    <n v="44.8"/>
    <x v="2"/>
  </r>
  <r>
    <s v="ORD-10563"/>
    <x v="492"/>
    <s v="Karen Rossi"/>
    <x v="1"/>
    <x v="16"/>
    <x v="3"/>
    <x v="2"/>
    <x v="21"/>
    <n v="4"/>
    <n v="91.15"/>
    <x v="4"/>
    <n v="346.37"/>
    <n v="13.75"/>
    <n v="113.86"/>
    <x v="3"/>
  </r>
  <r>
    <s v="ORD-11347"/>
    <x v="492"/>
    <s v="Amina Wang"/>
    <x v="1"/>
    <x v="0"/>
    <x v="0"/>
    <x v="0"/>
    <x v="18"/>
    <n v="2"/>
    <n v="64.84"/>
    <x v="1"/>
    <n v="103.74"/>
    <n v="6.94"/>
    <n v="25.48"/>
    <x v="2"/>
  </r>
  <r>
    <s v="ORD-11480"/>
    <x v="493"/>
    <s v="Richard Costa"/>
    <x v="1"/>
    <x v="2"/>
    <x v="0"/>
    <x v="2"/>
    <x v="4"/>
    <n v="3"/>
    <n v="277.81"/>
    <x v="2"/>
    <n v="708.42"/>
    <n v="9.76"/>
    <n v="198.6"/>
    <x v="2"/>
  </r>
  <r>
    <s v="ORD-11823"/>
    <x v="493"/>
    <s v="Oscar Johansson"/>
    <x v="1"/>
    <x v="5"/>
    <x v="3"/>
    <x v="1"/>
    <x v="23"/>
    <n v="4"/>
    <n v="15.31"/>
    <x v="2"/>
    <n v="52.05"/>
    <n v="17.07"/>
    <n v="7.42"/>
    <x v="3"/>
  </r>
  <r>
    <s v="ORD-11613"/>
    <x v="494"/>
    <s v="Ingrid Laurent"/>
    <x v="1"/>
    <x v="13"/>
    <x v="0"/>
    <x v="3"/>
    <x v="24"/>
    <n v="2"/>
    <n v="57.71"/>
    <x v="4"/>
    <n v="109.65"/>
    <n v="6.72"/>
    <n v="45.22"/>
    <x v="1"/>
  </r>
  <r>
    <s v="ORD-10055"/>
    <x v="495"/>
    <s v="Hans Park"/>
    <x v="0"/>
    <x v="3"/>
    <x v="1"/>
    <x v="3"/>
    <x v="37"/>
    <n v="4"/>
    <n v="36.93"/>
    <x v="2"/>
    <n v="125.56"/>
    <n v="14.92"/>
    <n v="36.78"/>
    <x v="0"/>
  </r>
  <r>
    <s v="ORD-11966"/>
    <x v="496"/>
    <s v="Wei Thompson"/>
    <x v="1"/>
    <x v="17"/>
    <x v="3"/>
    <x v="1"/>
    <x v="12"/>
    <n v="1"/>
    <n v="20.09"/>
    <x v="2"/>
    <n v="17.079999999999998"/>
    <n v="10.58"/>
    <n v="-2.54"/>
    <x v="1"/>
  </r>
  <r>
    <s v="ORD-10403"/>
    <x v="497"/>
    <s v="Ethan Williams"/>
    <x v="1"/>
    <x v="2"/>
    <x v="0"/>
    <x v="2"/>
    <x v="4"/>
    <n v="2"/>
    <n v="112.26"/>
    <x v="0"/>
    <n v="224.52"/>
    <n v="8.69"/>
    <n v="81.12"/>
    <x v="2"/>
  </r>
  <r>
    <s v="ORD-10140"/>
    <x v="498"/>
    <s v="Sarah Khan"/>
    <x v="2"/>
    <x v="3"/>
    <x v="1"/>
    <x v="1"/>
    <x v="12"/>
    <n v="3"/>
    <n v="22.08"/>
    <x v="3"/>
    <n v="59.62"/>
    <n v="10.3"/>
    <n v="19.510000000000002"/>
    <x v="3"/>
  </r>
  <r>
    <s v="ORD-11959"/>
    <x v="498"/>
    <s v="Ali Patel"/>
    <x v="1"/>
    <x v="6"/>
    <x v="2"/>
    <x v="0"/>
    <x v="29"/>
    <n v="8"/>
    <n v="29.9"/>
    <x v="0"/>
    <n v="239.2"/>
    <n v="15.61"/>
    <n v="92.03"/>
    <x v="2"/>
  </r>
  <r>
    <s v="ORD-10929"/>
    <x v="499"/>
    <s v="Noah Dubois"/>
    <x v="1"/>
    <x v="2"/>
    <x v="0"/>
    <x v="0"/>
    <x v="31"/>
    <n v="2"/>
    <n v="79.84"/>
    <x v="3"/>
    <n v="143.71"/>
    <n v="7.24"/>
    <n v="48.65"/>
    <x v="2"/>
  </r>
  <r>
    <s v="ORD-11370"/>
    <x v="499"/>
    <s v="Ivan MÃ¼ller"/>
    <x v="1"/>
    <x v="19"/>
    <x v="1"/>
    <x v="3"/>
    <x v="30"/>
    <n v="2"/>
    <n v="12.3"/>
    <x v="0"/>
    <n v="24.6"/>
    <n v="11.2"/>
    <n v="1.1000000000000001"/>
    <x v="1"/>
  </r>
  <r>
    <s v="ORD-11534"/>
    <x v="499"/>
    <s v="Jessica Williams"/>
    <x v="1"/>
    <x v="0"/>
    <x v="0"/>
    <x v="0"/>
    <x v="35"/>
    <n v="1"/>
    <n v="30.33"/>
    <x v="4"/>
    <n v="28.81"/>
    <n v="6.89"/>
    <n v="5.24"/>
    <x v="3"/>
  </r>
  <r>
    <s v="ORD-10174"/>
    <x v="500"/>
    <s v="Clara Schmidt"/>
    <x v="0"/>
    <x v="18"/>
    <x v="4"/>
    <x v="1"/>
    <x v="25"/>
    <n v="6"/>
    <n v="13.5"/>
    <x v="2"/>
    <n v="68.849999999999994"/>
    <n v="14.12"/>
    <n v="18.28"/>
    <x v="1"/>
  </r>
  <r>
    <s v="ORD-10848"/>
    <x v="500"/>
    <s v="Pierre Patel"/>
    <x v="1"/>
    <x v="14"/>
    <x v="1"/>
    <x v="3"/>
    <x v="24"/>
    <n v="3"/>
    <n v="68.42"/>
    <x v="3"/>
    <n v="184.73"/>
    <n v="12.09"/>
    <n v="70.010000000000005"/>
    <x v="2"/>
  </r>
  <r>
    <s v="ORD-11023"/>
    <x v="500"/>
    <s v="Olivia Garcia"/>
    <x v="2"/>
    <x v="0"/>
    <x v="0"/>
    <x v="1"/>
    <x v="20"/>
    <n v="8"/>
    <n v="7.55"/>
    <x v="1"/>
    <n v="48.32"/>
    <n v="12.15"/>
    <n v="8.99"/>
    <x v="2"/>
  </r>
  <r>
    <s v="ORD-11314"/>
    <x v="500"/>
    <s v="David Suzuki"/>
    <x v="1"/>
    <x v="11"/>
    <x v="2"/>
    <x v="0"/>
    <x v="7"/>
    <n v="5"/>
    <n v="57.26"/>
    <x v="3"/>
    <n v="257.67"/>
    <n v="17.079999999999998"/>
    <n v="83.12"/>
    <x v="3"/>
  </r>
  <r>
    <s v="ORD-11582"/>
    <x v="500"/>
    <s v="Christopher MÃ¼ller"/>
    <x v="1"/>
    <x v="2"/>
    <x v="0"/>
    <x v="2"/>
    <x v="15"/>
    <n v="1"/>
    <n v="187.47"/>
    <x v="0"/>
    <n v="187.47"/>
    <n v="6.23"/>
    <n v="68.760000000000005"/>
    <x v="3"/>
  </r>
  <r>
    <s v="ORD-10544"/>
    <x v="501"/>
    <s v="William Robinson"/>
    <x v="1"/>
    <x v="13"/>
    <x v="0"/>
    <x v="0"/>
    <x v="28"/>
    <n v="2"/>
    <n v="50.79"/>
    <x v="0"/>
    <n v="101.58"/>
    <n v="7.71"/>
    <n v="38"/>
    <x v="2"/>
  </r>
  <r>
    <s v="ORD-11124"/>
    <x v="501"/>
    <s v="Omar Weber"/>
    <x v="2"/>
    <x v="18"/>
    <x v="4"/>
    <x v="3"/>
    <x v="24"/>
    <n v="1"/>
    <n v="31.92"/>
    <x v="0"/>
    <n v="31.92"/>
    <n v="12.07"/>
    <n v="3.89"/>
    <x v="0"/>
  </r>
  <r>
    <s v="ORD-10493"/>
    <x v="502"/>
    <s v="Linda Fischer"/>
    <x v="1"/>
    <x v="0"/>
    <x v="0"/>
    <x v="1"/>
    <x v="25"/>
    <n v="8"/>
    <n v="15.17"/>
    <x v="0"/>
    <n v="121.36"/>
    <n v="23.42"/>
    <n v="43.33"/>
    <x v="1"/>
  </r>
  <r>
    <s v="ORD-10208"/>
    <x v="503"/>
    <s v="Ivan Thomas"/>
    <x v="2"/>
    <x v="7"/>
    <x v="4"/>
    <x v="0"/>
    <x v="22"/>
    <n v="2"/>
    <n v="68.400000000000006"/>
    <x v="0"/>
    <n v="136.80000000000001"/>
    <n v="13.66"/>
    <n v="47.9"/>
    <x v="2"/>
  </r>
  <r>
    <s v="ORD-10484"/>
    <x v="503"/>
    <s v="Maria Costa"/>
    <x v="1"/>
    <x v="9"/>
    <x v="3"/>
    <x v="3"/>
    <x v="24"/>
    <n v="5"/>
    <n v="57.12"/>
    <x v="0"/>
    <n v="285.60000000000002"/>
    <n v="19.41"/>
    <n v="123.39"/>
    <x v="1"/>
  </r>
  <r>
    <s v="ORD-10857"/>
    <x v="503"/>
    <s v="Layla Johansson"/>
    <x v="1"/>
    <x v="8"/>
    <x v="1"/>
    <x v="0"/>
    <x v="1"/>
    <n v="10"/>
    <n v="62.96"/>
    <x v="3"/>
    <n v="566.64"/>
    <n v="19.53"/>
    <n v="200.83"/>
    <x v="2"/>
  </r>
  <r>
    <s v="ORD-10901"/>
    <x v="503"/>
    <s v="Richard Tanaka"/>
    <x v="0"/>
    <x v="17"/>
    <x v="3"/>
    <x v="2"/>
    <x v="15"/>
    <n v="5"/>
    <n v="214.38"/>
    <x v="2"/>
    <n v="911.12"/>
    <n v="18.93"/>
    <n v="249.05"/>
    <x v="1"/>
  </r>
  <r>
    <s v="ORD-11644"/>
    <x v="504"/>
    <s v="Joseph Romano"/>
    <x v="1"/>
    <x v="18"/>
    <x v="4"/>
    <x v="1"/>
    <x v="38"/>
    <n v="2"/>
    <n v="8.93"/>
    <x v="3"/>
    <n v="16.07"/>
    <n v="14.32"/>
    <n v="-6.29"/>
    <x v="1"/>
  </r>
  <r>
    <s v="ORD-11672"/>
    <x v="504"/>
    <s v="Liam Nilsson"/>
    <x v="2"/>
    <x v="8"/>
    <x v="1"/>
    <x v="1"/>
    <x v="20"/>
    <n v="4"/>
    <n v="17.600000000000001"/>
    <x v="0"/>
    <n v="70.400000000000006"/>
    <n v="14.18"/>
    <n v="24.54"/>
    <x v="2"/>
  </r>
  <r>
    <s v="ORD-11073"/>
    <x v="505"/>
    <s v="Elizabeth Chen"/>
    <x v="2"/>
    <x v="13"/>
    <x v="0"/>
    <x v="3"/>
    <x v="30"/>
    <n v="9"/>
    <n v="22.04"/>
    <x v="0"/>
    <n v="198.36"/>
    <n v="9.7899999999999991"/>
    <n v="89.39"/>
    <x v="1"/>
  </r>
  <r>
    <s v="ORD-11058"/>
    <x v="506"/>
    <s v="Omar Costa"/>
    <x v="0"/>
    <x v="2"/>
    <x v="0"/>
    <x v="2"/>
    <x v="15"/>
    <n v="1"/>
    <n v="376.74"/>
    <x v="1"/>
    <n v="301.39"/>
    <n v="7.19"/>
    <n v="68.16"/>
    <x v="1"/>
  </r>
  <r>
    <s v="ORD-10370"/>
    <x v="507"/>
    <s v="Linda Santos"/>
    <x v="0"/>
    <x v="8"/>
    <x v="1"/>
    <x v="0"/>
    <x v="1"/>
    <n v="1"/>
    <n v="174.88"/>
    <x v="2"/>
    <n v="148.65"/>
    <n v="8.56"/>
    <n v="43.91"/>
    <x v="1"/>
  </r>
  <r>
    <s v="ORD-11781"/>
    <x v="507"/>
    <s v="Ingrid White"/>
    <x v="1"/>
    <x v="10"/>
    <x v="3"/>
    <x v="1"/>
    <x v="38"/>
    <n v="1"/>
    <n v="13.21"/>
    <x v="4"/>
    <n v="12.55"/>
    <n v="10.34"/>
    <n v="-3.73"/>
    <x v="1"/>
  </r>
  <r>
    <s v="ORD-11939"/>
    <x v="507"/>
    <s v="Amir Moreau"/>
    <x v="2"/>
    <x v="17"/>
    <x v="3"/>
    <x v="0"/>
    <x v="3"/>
    <n v="2"/>
    <n v="43.13"/>
    <x v="0"/>
    <n v="86.26"/>
    <n v="11.52"/>
    <n v="27.3"/>
    <x v="2"/>
  </r>
  <r>
    <s v="ORD-10184"/>
    <x v="508"/>
    <s v="Isabella Ferrari"/>
    <x v="0"/>
    <x v="14"/>
    <x v="1"/>
    <x v="0"/>
    <x v="18"/>
    <n v="4"/>
    <n v="41.61"/>
    <x v="1"/>
    <n v="133.15"/>
    <n v="11.64"/>
    <n v="29.97"/>
    <x v="1"/>
  </r>
  <r>
    <s v="ORD-10229"/>
    <x v="508"/>
    <s v="Xiao Martin"/>
    <x v="2"/>
    <x v="2"/>
    <x v="0"/>
    <x v="3"/>
    <x v="11"/>
    <n v="6"/>
    <n v="33.229999999999997"/>
    <x v="4"/>
    <n v="189.41"/>
    <n v="9.09"/>
    <n v="80.63"/>
    <x v="1"/>
  </r>
  <r>
    <s v="ORD-10286"/>
    <x v="508"/>
    <s v="Oscar Williams"/>
    <x v="0"/>
    <x v="0"/>
    <x v="0"/>
    <x v="3"/>
    <x v="30"/>
    <n v="4"/>
    <n v="12.55"/>
    <x v="6"/>
    <n v="37.65"/>
    <n v="9.91"/>
    <n v="2.64"/>
    <x v="1"/>
  </r>
  <r>
    <s v="ORD-10426"/>
    <x v="508"/>
    <s v="Ayumi Thomas"/>
    <x v="1"/>
    <x v="15"/>
    <x v="2"/>
    <x v="3"/>
    <x v="37"/>
    <n v="8"/>
    <n v="62.5"/>
    <x v="6"/>
    <n v="375"/>
    <n v="24.32"/>
    <n v="100.68"/>
    <x v="2"/>
  </r>
  <r>
    <s v="ORD-11799"/>
    <x v="508"/>
    <s v="Jamal Pereira"/>
    <x v="1"/>
    <x v="0"/>
    <x v="0"/>
    <x v="0"/>
    <x v="18"/>
    <n v="2"/>
    <n v="31.01"/>
    <x v="3"/>
    <n v="55.82"/>
    <n v="6.85"/>
    <n v="14.86"/>
    <x v="3"/>
  </r>
  <r>
    <s v="ORD-11951"/>
    <x v="508"/>
    <s v="William Romano"/>
    <x v="1"/>
    <x v="13"/>
    <x v="0"/>
    <x v="2"/>
    <x v="34"/>
    <n v="4"/>
    <n v="29.07"/>
    <x v="3"/>
    <n v="104.65"/>
    <n v="12.59"/>
    <n v="22.29"/>
    <x v="0"/>
  </r>
  <r>
    <s v="ORD-10466"/>
    <x v="509"/>
    <s v="Zara Harris"/>
    <x v="0"/>
    <x v="13"/>
    <x v="0"/>
    <x v="0"/>
    <x v="35"/>
    <n v="5"/>
    <n v="62.9"/>
    <x v="0"/>
    <n v="314.5"/>
    <n v="12.05"/>
    <n v="129.47"/>
    <x v="3"/>
  </r>
  <r>
    <s v="ORD-11433"/>
    <x v="509"/>
    <s v="Pierre Smith"/>
    <x v="1"/>
    <x v="1"/>
    <x v="1"/>
    <x v="1"/>
    <x v="12"/>
    <n v="1"/>
    <n v="13.51"/>
    <x v="3"/>
    <n v="12.16"/>
    <n v="7.94"/>
    <n v="-1.86"/>
    <x v="1"/>
  </r>
  <r>
    <s v="ORD-11473"/>
    <x v="509"/>
    <s v="Zara Clark"/>
    <x v="1"/>
    <x v="18"/>
    <x v="4"/>
    <x v="2"/>
    <x v="21"/>
    <n v="3"/>
    <n v="64.94"/>
    <x v="1"/>
    <n v="155.86000000000001"/>
    <n v="11.57"/>
    <n v="27.4"/>
    <x v="2"/>
  </r>
  <r>
    <s v="ORD-11491"/>
    <x v="509"/>
    <s v="Carlos Yamamoto"/>
    <x v="1"/>
    <x v="2"/>
    <x v="0"/>
    <x v="3"/>
    <x v="27"/>
    <n v="1"/>
    <n v="20.04"/>
    <x v="0"/>
    <n v="20.04"/>
    <n v="6.51"/>
    <n v="3.51"/>
    <x v="1"/>
  </r>
  <r>
    <s v="ORD-11504"/>
    <x v="509"/>
    <s v="Yuki Pereira"/>
    <x v="0"/>
    <x v="13"/>
    <x v="0"/>
    <x v="1"/>
    <x v="12"/>
    <n v="4"/>
    <n v="17.37"/>
    <x v="2"/>
    <n v="59.06"/>
    <n v="9.1"/>
    <n v="18.690000000000001"/>
    <x v="0"/>
  </r>
  <r>
    <s v="ORD-11938"/>
    <x v="509"/>
    <s v="Isabella Johansson"/>
    <x v="0"/>
    <x v="15"/>
    <x v="2"/>
    <x v="2"/>
    <x v="8"/>
    <n v="2"/>
    <n v="73.069999999999993"/>
    <x v="2"/>
    <n v="124.22"/>
    <n v="13.98"/>
    <n v="22.56"/>
    <x v="1"/>
  </r>
  <r>
    <s v="ORD-10262"/>
    <x v="510"/>
    <s v="Carlos Ferrari"/>
    <x v="2"/>
    <x v="2"/>
    <x v="0"/>
    <x v="1"/>
    <x v="10"/>
    <n v="2"/>
    <n v="5.97"/>
    <x v="4"/>
    <n v="11.34"/>
    <n v="7.01"/>
    <n v="-1.04"/>
    <x v="2"/>
  </r>
  <r>
    <s v="ORD-10998"/>
    <x v="511"/>
    <s v="Diego Miller"/>
    <x v="1"/>
    <x v="3"/>
    <x v="1"/>
    <x v="2"/>
    <x v="32"/>
    <n v="4"/>
    <n v="67.400000000000006"/>
    <x v="4"/>
    <n v="256.12"/>
    <n v="9.33"/>
    <n v="85.03"/>
    <x v="0"/>
  </r>
  <r>
    <s v="ORD-10050"/>
    <x v="512"/>
    <s v="Robert Garcia"/>
    <x v="1"/>
    <x v="14"/>
    <x v="1"/>
    <x v="1"/>
    <x v="17"/>
    <n v="3"/>
    <n v="13.57"/>
    <x v="4"/>
    <n v="38.67"/>
    <n v="12.98"/>
    <n v="7.37"/>
    <x v="1"/>
  </r>
  <r>
    <s v="ORD-10697"/>
    <x v="512"/>
    <s v="Sakura Garcia"/>
    <x v="2"/>
    <x v="1"/>
    <x v="1"/>
    <x v="1"/>
    <x v="19"/>
    <n v="2"/>
    <n v="6.44"/>
    <x v="0"/>
    <n v="12.88"/>
    <n v="9.7100000000000009"/>
    <n v="-2.63"/>
    <x v="1"/>
  </r>
  <r>
    <s v="ORD-10329"/>
    <x v="513"/>
    <s v="Amina Taylor"/>
    <x v="1"/>
    <x v="17"/>
    <x v="3"/>
    <x v="1"/>
    <x v="2"/>
    <n v="6"/>
    <n v="13.09"/>
    <x v="3"/>
    <n v="70.69"/>
    <n v="20.97"/>
    <n v="14.38"/>
    <x v="2"/>
  </r>
  <r>
    <s v="ORD-10011"/>
    <x v="514"/>
    <s v="James Ferrari"/>
    <x v="1"/>
    <x v="13"/>
    <x v="0"/>
    <x v="0"/>
    <x v="1"/>
    <n v="9"/>
    <n v="164.14"/>
    <x v="0"/>
    <n v="1477.26"/>
    <n v="18.25"/>
    <n v="646.52"/>
    <x v="1"/>
  </r>
  <r>
    <s v="ORD-10931"/>
    <x v="514"/>
    <s v="Maria Thomas"/>
    <x v="0"/>
    <x v="5"/>
    <x v="3"/>
    <x v="2"/>
    <x v="34"/>
    <n v="3"/>
    <n v="49.49"/>
    <x v="2"/>
    <n v="126.2"/>
    <n v="16.07"/>
    <n v="21.05"/>
    <x v="1"/>
  </r>
  <r>
    <s v="ORD-10141"/>
    <x v="515"/>
    <s v="Mia Ali"/>
    <x v="0"/>
    <x v="7"/>
    <x v="4"/>
    <x v="1"/>
    <x v="6"/>
    <n v="2"/>
    <n v="18.149999999999999"/>
    <x v="2"/>
    <n v="30.85"/>
    <n v="14.89"/>
    <n v="-0.38"/>
    <x v="2"/>
  </r>
  <r>
    <s v="ORD-10648"/>
    <x v="515"/>
    <s v="Omar Dubois"/>
    <x v="2"/>
    <x v="10"/>
    <x v="3"/>
    <x v="1"/>
    <x v="25"/>
    <n v="3"/>
    <n v="6.42"/>
    <x v="2"/>
    <n v="16.37"/>
    <n v="15.39"/>
    <n v="-7.69"/>
    <x v="1"/>
  </r>
  <r>
    <s v="ORD-11925"/>
    <x v="516"/>
    <s v="Sarah Miller"/>
    <x v="0"/>
    <x v="7"/>
    <x v="4"/>
    <x v="0"/>
    <x v="18"/>
    <n v="3"/>
    <n v="55.32"/>
    <x v="3"/>
    <n v="149.36000000000001"/>
    <n v="16.68"/>
    <n v="41.4"/>
    <x v="2"/>
  </r>
  <r>
    <s v="ORD-10076"/>
    <x v="517"/>
    <s v="Sarah Patel"/>
    <x v="1"/>
    <x v="9"/>
    <x v="3"/>
    <x v="1"/>
    <x v="6"/>
    <n v="5"/>
    <n v="17.850000000000001"/>
    <x v="0"/>
    <n v="89.25"/>
    <n v="14.45"/>
    <n v="34.64"/>
    <x v="3"/>
  </r>
  <r>
    <s v="ORD-11440"/>
    <x v="517"/>
    <s v="Wei Patel"/>
    <x v="0"/>
    <x v="7"/>
    <x v="4"/>
    <x v="0"/>
    <x v="29"/>
    <n v="5"/>
    <n v="18.670000000000002"/>
    <x v="4"/>
    <n v="88.68"/>
    <n v="14.38"/>
    <n v="22.96"/>
    <x v="0"/>
  </r>
  <r>
    <s v="ORD-11573"/>
    <x v="517"/>
    <s v="Mia Chen"/>
    <x v="1"/>
    <x v="1"/>
    <x v="1"/>
    <x v="0"/>
    <x v="0"/>
    <n v="2"/>
    <n v="83.77"/>
    <x v="2"/>
    <n v="142.41"/>
    <n v="8.0500000000000007"/>
    <n v="42.21"/>
    <x v="1"/>
  </r>
  <r>
    <s v="ORD-11870"/>
    <x v="518"/>
    <s v="Isabella Jones"/>
    <x v="0"/>
    <x v="1"/>
    <x v="1"/>
    <x v="0"/>
    <x v="35"/>
    <n v="4"/>
    <n v="48.97"/>
    <x v="1"/>
    <n v="156.69999999999999"/>
    <n v="10.82"/>
    <n v="38.15"/>
    <x v="1"/>
  </r>
  <r>
    <s v="ORD-11920"/>
    <x v="519"/>
    <s v="Pierre Jones"/>
    <x v="0"/>
    <x v="8"/>
    <x v="1"/>
    <x v="3"/>
    <x v="30"/>
    <n v="1"/>
    <n v="29.28"/>
    <x v="2"/>
    <n v="24.89"/>
    <n v="9.4"/>
    <n v="0.85"/>
    <x v="1"/>
  </r>
  <r>
    <s v="ORD-10106"/>
    <x v="520"/>
    <s v="Karen Ali"/>
    <x v="1"/>
    <x v="17"/>
    <x v="3"/>
    <x v="3"/>
    <x v="37"/>
    <n v="4"/>
    <n v="26"/>
    <x v="0"/>
    <n v="104"/>
    <n v="15.47"/>
    <n v="36.53"/>
    <x v="2"/>
  </r>
  <r>
    <s v="ORD-11522"/>
    <x v="520"/>
    <s v="Amir Anderson"/>
    <x v="0"/>
    <x v="8"/>
    <x v="1"/>
    <x v="0"/>
    <x v="18"/>
    <n v="4"/>
    <n v="31.83"/>
    <x v="4"/>
    <n v="120.95"/>
    <n v="12.01"/>
    <n v="38.909999999999997"/>
    <x v="3"/>
  </r>
  <r>
    <s v="ORD-10223"/>
    <x v="521"/>
    <s v="Jennifer Yamamoto"/>
    <x v="1"/>
    <x v="19"/>
    <x v="1"/>
    <x v="2"/>
    <x v="21"/>
    <n v="2"/>
    <n v="61.97"/>
    <x v="0"/>
    <n v="123.94"/>
    <n v="11.14"/>
    <n v="38.44"/>
    <x v="3"/>
  </r>
  <r>
    <s v="ORD-11955"/>
    <x v="521"/>
    <s v="Olivia Jones"/>
    <x v="1"/>
    <x v="8"/>
    <x v="1"/>
    <x v="2"/>
    <x v="34"/>
    <n v="6"/>
    <n v="47.45"/>
    <x v="4"/>
    <n v="270.47000000000003"/>
    <n v="21.01"/>
    <n v="78.64"/>
    <x v="1"/>
  </r>
  <r>
    <s v="ORD-10258"/>
    <x v="522"/>
    <s v="Mia Santos"/>
    <x v="1"/>
    <x v="9"/>
    <x v="3"/>
    <x v="1"/>
    <x v="2"/>
    <n v="6"/>
    <n v="6.49"/>
    <x v="2"/>
    <n v="33.1"/>
    <n v="12.35"/>
    <n v="3.23"/>
    <x v="1"/>
  </r>
  <r>
    <s v="ORD-10879"/>
    <x v="522"/>
    <s v="Carlos Patel"/>
    <x v="0"/>
    <x v="11"/>
    <x v="2"/>
    <x v="0"/>
    <x v="3"/>
    <n v="3"/>
    <n v="37.06"/>
    <x v="1"/>
    <n v="88.94"/>
    <n v="13.02"/>
    <n v="14.77"/>
    <x v="0"/>
  </r>
  <r>
    <s v="ORD-11947"/>
    <x v="523"/>
    <s v="Olivia Johnson"/>
    <x v="0"/>
    <x v="18"/>
    <x v="4"/>
    <x v="0"/>
    <x v="1"/>
    <n v="1"/>
    <n v="165.01"/>
    <x v="3"/>
    <n v="148.51"/>
    <n v="11.03"/>
    <n v="46.72"/>
    <x v="2"/>
  </r>
  <r>
    <s v="ORD-11826"/>
    <x v="524"/>
    <s v="Robert Leroy"/>
    <x v="2"/>
    <x v="19"/>
    <x v="1"/>
    <x v="3"/>
    <x v="37"/>
    <n v="3"/>
    <n v="66.59"/>
    <x v="4"/>
    <n v="189.78"/>
    <n v="13.14"/>
    <n v="76.75"/>
    <x v="1"/>
  </r>
  <r>
    <s v="ORD-10296"/>
    <x v="525"/>
    <s v="Michael Tanaka"/>
    <x v="1"/>
    <x v="7"/>
    <x v="4"/>
    <x v="3"/>
    <x v="13"/>
    <n v="1"/>
    <n v="41.43"/>
    <x v="3"/>
    <n v="37.29"/>
    <n v="12.06"/>
    <n v="4.51"/>
    <x v="0"/>
  </r>
  <r>
    <s v="ORD-11399"/>
    <x v="525"/>
    <s v="Thomas Chen"/>
    <x v="2"/>
    <x v="2"/>
    <x v="0"/>
    <x v="2"/>
    <x v="36"/>
    <n v="1"/>
    <n v="160.44999999999999"/>
    <x v="4"/>
    <n v="152.43"/>
    <n v="5.89"/>
    <n v="50.27"/>
    <x v="2"/>
  </r>
  <r>
    <s v="ORD-10312"/>
    <x v="526"/>
    <s v="Lucas Nilsson"/>
    <x v="1"/>
    <x v="8"/>
    <x v="1"/>
    <x v="0"/>
    <x v="1"/>
    <n v="4"/>
    <n v="142.59"/>
    <x v="0"/>
    <n v="570.36"/>
    <n v="11.88"/>
    <n v="244.78"/>
    <x v="2"/>
  </r>
  <r>
    <s v="ORD-10512"/>
    <x v="526"/>
    <s v="Omar Dubois"/>
    <x v="2"/>
    <x v="1"/>
    <x v="1"/>
    <x v="0"/>
    <x v="18"/>
    <n v="3"/>
    <n v="37.56"/>
    <x v="3"/>
    <n v="101.41"/>
    <n v="11.79"/>
    <n v="27.65"/>
    <x v="0"/>
  </r>
  <r>
    <s v="ORD-10767"/>
    <x v="526"/>
    <s v="Omar Thompson"/>
    <x v="1"/>
    <x v="8"/>
    <x v="1"/>
    <x v="2"/>
    <x v="15"/>
    <n v="4"/>
    <n v="287.66000000000003"/>
    <x v="4"/>
    <n v="1093.1099999999999"/>
    <n v="15.79"/>
    <n v="386.94"/>
    <x v="0"/>
  </r>
  <r>
    <s v="ORD-11092"/>
    <x v="526"/>
    <s v="Raj Thompson"/>
    <x v="2"/>
    <x v="5"/>
    <x v="3"/>
    <x v="3"/>
    <x v="16"/>
    <n v="3"/>
    <n v="55.82"/>
    <x v="4"/>
    <n v="159.09"/>
    <n v="12.34"/>
    <n v="63.02"/>
    <x v="3"/>
  </r>
  <r>
    <s v="ORD-11797"/>
    <x v="526"/>
    <s v="Hanna Sato"/>
    <x v="1"/>
    <x v="0"/>
    <x v="0"/>
    <x v="1"/>
    <x v="19"/>
    <n v="6"/>
    <n v="7.06"/>
    <x v="1"/>
    <n v="33.89"/>
    <n v="9.61"/>
    <n v="5.22"/>
    <x v="3"/>
  </r>
  <r>
    <s v="ORD-10517"/>
    <x v="527"/>
    <s v="Diego Johansson"/>
    <x v="1"/>
    <x v="11"/>
    <x v="2"/>
    <x v="1"/>
    <x v="25"/>
    <n v="2"/>
    <n v="16.71"/>
    <x v="4"/>
    <n v="31.75"/>
    <n v="14.63"/>
    <n v="2.08"/>
    <x v="1"/>
  </r>
  <r>
    <s v="ORD-10999"/>
    <x v="527"/>
    <s v="Layla Romano"/>
    <x v="0"/>
    <x v="5"/>
    <x v="3"/>
    <x v="1"/>
    <x v="12"/>
    <n v="10"/>
    <n v="8.48"/>
    <x v="3"/>
    <n v="76.319999999999993"/>
    <n v="21.04"/>
    <n v="17.12"/>
    <x v="2"/>
  </r>
  <r>
    <s v="ORD-11749"/>
    <x v="527"/>
    <s v="Ivan Williams"/>
    <x v="0"/>
    <x v="17"/>
    <x v="3"/>
    <x v="0"/>
    <x v="22"/>
    <n v="5"/>
    <n v="113.75"/>
    <x v="4"/>
    <n v="540.30999999999995"/>
    <n v="19.739999999999998"/>
    <n v="207.76"/>
    <x v="3"/>
  </r>
  <r>
    <s v="ORD-11228"/>
    <x v="528"/>
    <s v="Sakura Thomas"/>
    <x v="1"/>
    <x v="0"/>
    <x v="0"/>
    <x v="2"/>
    <x v="5"/>
    <n v="8"/>
    <n v="88.37"/>
    <x v="4"/>
    <n v="671.61"/>
    <n v="16.48"/>
    <n v="230.95"/>
    <x v="0"/>
  </r>
  <r>
    <s v="ORD-10412"/>
    <x v="529"/>
    <s v="Nadia Taylor"/>
    <x v="0"/>
    <x v="15"/>
    <x v="2"/>
    <x v="1"/>
    <x v="10"/>
    <n v="3"/>
    <n v="5.9"/>
    <x v="4"/>
    <n v="16.82"/>
    <n v="15.21"/>
    <n v="-6.36"/>
    <x v="0"/>
  </r>
  <r>
    <s v="ORD-10504"/>
    <x v="529"/>
    <s v="John Suzuki"/>
    <x v="2"/>
    <x v="13"/>
    <x v="0"/>
    <x v="3"/>
    <x v="9"/>
    <n v="1"/>
    <n v="37.979999999999997"/>
    <x v="3"/>
    <n v="34.18"/>
    <n v="7.22"/>
    <n v="7.97"/>
    <x v="1"/>
  </r>
  <r>
    <s v="ORD-10988"/>
    <x v="529"/>
    <s v="Oscar Martinez"/>
    <x v="0"/>
    <x v="7"/>
    <x v="4"/>
    <x v="3"/>
    <x v="11"/>
    <n v="5"/>
    <n v="34.24"/>
    <x v="3"/>
    <n v="154.08000000000001"/>
    <n v="20.25"/>
    <n v="48.23"/>
    <x v="1"/>
  </r>
  <r>
    <s v="ORD-11136"/>
    <x v="529"/>
    <s v="Emma MÃ¼ller"/>
    <x v="1"/>
    <x v="3"/>
    <x v="1"/>
    <x v="3"/>
    <x v="11"/>
    <n v="1"/>
    <n v="99.45"/>
    <x v="2"/>
    <n v="84.53"/>
    <n v="7.83"/>
    <n v="26.98"/>
    <x v="1"/>
  </r>
  <r>
    <s v="ORD-11883"/>
    <x v="529"/>
    <s v="Mia Costa"/>
    <x v="1"/>
    <x v="14"/>
    <x v="1"/>
    <x v="0"/>
    <x v="18"/>
    <n v="10"/>
    <n v="53.93"/>
    <x v="4"/>
    <n v="512.33000000000004"/>
    <n v="19.66"/>
    <n v="196.06"/>
    <x v="0"/>
  </r>
  <r>
    <s v="ORD-10119"/>
    <x v="530"/>
    <s v="Zara Thomas"/>
    <x v="1"/>
    <x v="0"/>
    <x v="0"/>
    <x v="3"/>
    <x v="30"/>
    <n v="6"/>
    <n v="16.760000000000002"/>
    <x v="4"/>
    <n v="95.53"/>
    <n v="8.44"/>
    <n v="36.81"/>
    <x v="2"/>
  </r>
  <r>
    <s v="ORD-10021"/>
    <x v="531"/>
    <s v="Giulia Yamamoto"/>
    <x v="1"/>
    <x v="10"/>
    <x v="3"/>
    <x v="3"/>
    <x v="27"/>
    <n v="4"/>
    <n v="20.47"/>
    <x v="3"/>
    <n v="73.69"/>
    <n v="11.8"/>
    <n v="20.95"/>
    <x v="2"/>
  </r>
  <r>
    <s v="ORD-10663"/>
    <x v="531"/>
    <s v="Hans Miller"/>
    <x v="1"/>
    <x v="3"/>
    <x v="1"/>
    <x v="0"/>
    <x v="22"/>
    <n v="3"/>
    <n v="135.35"/>
    <x v="4"/>
    <n v="385.75"/>
    <n v="12.11"/>
    <n v="150.31"/>
    <x v="1"/>
  </r>
  <r>
    <s v="ORD-11018"/>
    <x v="531"/>
    <s v="Liam Schmidt"/>
    <x v="1"/>
    <x v="10"/>
    <x v="3"/>
    <x v="1"/>
    <x v="23"/>
    <n v="4"/>
    <n v="13.9"/>
    <x v="0"/>
    <n v="55.6"/>
    <n v="11.78"/>
    <n v="18.8"/>
    <x v="1"/>
  </r>
  <r>
    <s v="ORD-11739"/>
    <x v="531"/>
    <s v="Olivia Sharma"/>
    <x v="1"/>
    <x v="2"/>
    <x v="0"/>
    <x v="0"/>
    <x v="0"/>
    <n v="4"/>
    <n v="58.38"/>
    <x v="0"/>
    <n v="233.52"/>
    <n v="13.39"/>
    <n v="91.69"/>
    <x v="2"/>
  </r>
  <r>
    <s v="ORD-11774"/>
    <x v="531"/>
    <s v="John Wang"/>
    <x v="2"/>
    <x v="10"/>
    <x v="3"/>
    <x v="3"/>
    <x v="30"/>
    <n v="2"/>
    <n v="21.81"/>
    <x v="3"/>
    <n v="39.26"/>
    <n v="12.21"/>
    <n v="5.24"/>
    <x v="3"/>
  </r>
  <r>
    <s v="ORD-11881"/>
    <x v="531"/>
    <s v="Mia Jones"/>
    <x v="2"/>
    <x v="19"/>
    <x v="1"/>
    <x v="3"/>
    <x v="26"/>
    <n v="8"/>
    <n v="48.56"/>
    <x v="4"/>
    <n v="369.06"/>
    <n v="24.35"/>
    <n v="150.47"/>
    <x v="2"/>
  </r>
  <r>
    <s v="ORD-11965"/>
    <x v="531"/>
    <s v="Layla Patel"/>
    <x v="1"/>
    <x v="2"/>
    <x v="0"/>
    <x v="2"/>
    <x v="14"/>
    <n v="1"/>
    <n v="371.21"/>
    <x v="3"/>
    <n v="334.09"/>
    <n v="5.6"/>
    <n v="105.76"/>
    <x v="1"/>
  </r>
  <r>
    <s v="ORD-10520"/>
    <x v="532"/>
    <s v="Linda Weber"/>
    <x v="0"/>
    <x v="9"/>
    <x v="3"/>
    <x v="2"/>
    <x v="14"/>
    <n v="10"/>
    <n v="345.3"/>
    <x v="1"/>
    <n v="2762.4"/>
    <n v="32.74"/>
    <n v="657.86"/>
    <x v="1"/>
  </r>
  <r>
    <s v="ORD-10877"/>
    <x v="532"/>
    <s v="Yuki Sharma"/>
    <x v="0"/>
    <x v="2"/>
    <x v="0"/>
    <x v="3"/>
    <x v="33"/>
    <n v="3"/>
    <n v="51.23"/>
    <x v="6"/>
    <n v="115.27"/>
    <n v="9.6"/>
    <n v="28.82"/>
    <x v="0"/>
  </r>
  <r>
    <s v="ORD-11475"/>
    <x v="532"/>
    <s v="Maria Yamamoto"/>
    <x v="1"/>
    <x v="5"/>
    <x v="3"/>
    <x v="2"/>
    <x v="32"/>
    <n v="8"/>
    <n v="35.17"/>
    <x v="4"/>
    <n v="267.29000000000002"/>
    <n v="25.72"/>
    <n v="72.75"/>
    <x v="1"/>
  </r>
  <r>
    <s v="ORD-10523"/>
    <x v="533"/>
    <s v="Omar Jackson"/>
    <x v="2"/>
    <x v="13"/>
    <x v="0"/>
    <x v="3"/>
    <x v="37"/>
    <n v="2"/>
    <n v="66.94"/>
    <x v="0"/>
    <n v="133.88"/>
    <n v="9.1199999999999992"/>
    <n v="57.82"/>
    <x v="2"/>
  </r>
  <r>
    <s v="ORD-10833"/>
    <x v="533"/>
    <s v="Michael Ferrari"/>
    <x v="1"/>
    <x v="3"/>
    <x v="1"/>
    <x v="0"/>
    <x v="29"/>
    <n v="1"/>
    <n v="26.72"/>
    <x v="0"/>
    <n v="26.72"/>
    <n v="9.0399999999999991"/>
    <n v="2.98"/>
    <x v="1"/>
  </r>
  <r>
    <s v="ORD-10871"/>
    <x v="533"/>
    <s v="Nadia Wang"/>
    <x v="1"/>
    <x v="1"/>
    <x v="1"/>
    <x v="2"/>
    <x v="8"/>
    <n v="9"/>
    <n v="115.8"/>
    <x v="1"/>
    <n v="833.76"/>
    <n v="26.5"/>
    <n v="181.94"/>
    <x v="3"/>
  </r>
  <r>
    <s v="ORD-11209"/>
    <x v="533"/>
    <s v="Nadia Martinez"/>
    <x v="0"/>
    <x v="2"/>
    <x v="0"/>
    <x v="1"/>
    <x v="10"/>
    <n v="2"/>
    <n v="9.2799999999999994"/>
    <x v="1"/>
    <n v="14.85"/>
    <n v="8.0399999999999991"/>
    <n v="-1.54"/>
    <x v="1"/>
  </r>
  <r>
    <s v="ORD-11542"/>
    <x v="533"/>
    <s v="Raj Schmidt"/>
    <x v="1"/>
    <x v="5"/>
    <x v="3"/>
    <x v="1"/>
    <x v="6"/>
    <n v="3"/>
    <n v="17.78"/>
    <x v="0"/>
    <n v="53.34"/>
    <n v="13.47"/>
    <n v="15.87"/>
    <x v="1"/>
  </r>
  <r>
    <s v="ORD-11783"/>
    <x v="534"/>
    <s v="Li Miller"/>
    <x v="1"/>
    <x v="8"/>
    <x v="1"/>
    <x v="2"/>
    <x v="15"/>
    <n v="4"/>
    <n v="275.12"/>
    <x v="4"/>
    <n v="1045.46"/>
    <n v="13.94"/>
    <n v="371.23"/>
    <x v="2"/>
  </r>
  <r>
    <s v="ORD-11994"/>
    <x v="534"/>
    <s v="Richard Santos"/>
    <x v="1"/>
    <x v="17"/>
    <x v="3"/>
    <x v="0"/>
    <x v="3"/>
    <n v="5"/>
    <n v="53.38"/>
    <x v="3"/>
    <n v="240.21"/>
    <n v="11.59"/>
    <n v="81.819999999999993"/>
    <x v="3"/>
  </r>
  <r>
    <s v="ORD-10391"/>
    <x v="535"/>
    <s v="Jessica Taylor"/>
    <x v="1"/>
    <x v="11"/>
    <x v="2"/>
    <x v="3"/>
    <x v="37"/>
    <n v="2"/>
    <n v="77.59"/>
    <x v="3"/>
    <n v="139.66"/>
    <n v="15.29"/>
    <n v="46.78"/>
    <x v="2"/>
  </r>
  <r>
    <s v="ORD-11714"/>
    <x v="535"/>
    <s v="Wei Li"/>
    <x v="1"/>
    <x v="5"/>
    <x v="3"/>
    <x v="1"/>
    <x v="38"/>
    <n v="6"/>
    <n v="7"/>
    <x v="4"/>
    <n v="39.9"/>
    <n v="18.09"/>
    <n v="2.91"/>
    <x v="1"/>
  </r>
  <r>
    <s v="ORD-11851"/>
    <x v="535"/>
    <s v="Patricia Santos"/>
    <x v="2"/>
    <x v="5"/>
    <x v="3"/>
    <x v="3"/>
    <x v="9"/>
    <n v="1"/>
    <n v="61.38"/>
    <x v="3"/>
    <n v="55.24"/>
    <n v="10.68"/>
    <n v="13.87"/>
    <x v="0"/>
  </r>
  <r>
    <s v="ORD-10162"/>
    <x v="536"/>
    <s v="Linda Rodriguez"/>
    <x v="0"/>
    <x v="2"/>
    <x v="0"/>
    <x v="1"/>
    <x v="17"/>
    <n v="7"/>
    <n v="9.7899999999999991"/>
    <x v="5"/>
    <n v="47.97"/>
    <n v="15.8"/>
    <n v="1.33"/>
    <x v="2"/>
  </r>
  <r>
    <s v="ORD-10416"/>
    <x v="536"/>
    <s v="Wei Khan"/>
    <x v="1"/>
    <x v="2"/>
    <x v="0"/>
    <x v="1"/>
    <x v="25"/>
    <n v="1"/>
    <n v="8.5399999999999991"/>
    <x v="0"/>
    <n v="8.5399999999999991"/>
    <n v="7.42"/>
    <n v="-2.72"/>
    <x v="2"/>
  </r>
  <r>
    <s v="ORD-10038"/>
    <x v="537"/>
    <s v="Kenji Jones"/>
    <x v="0"/>
    <x v="13"/>
    <x v="0"/>
    <x v="3"/>
    <x v="27"/>
    <n v="1"/>
    <n v="26.92"/>
    <x v="2"/>
    <n v="22.88"/>
    <n v="6.91"/>
    <n v="2.5099999999999998"/>
    <x v="1"/>
  </r>
  <r>
    <s v="ORD-10168"/>
    <x v="538"/>
    <s v="Isabella Schmidt"/>
    <x v="1"/>
    <x v="12"/>
    <x v="4"/>
    <x v="3"/>
    <x v="16"/>
    <n v="1"/>
    <n v="29.08"/>
    <x v="2"/>
    <n v="24.72"/>
    <n v="11.98"/>
    <n v="-1.8"/>
    <x v="1"/>
  </r>
  <r>
    <s v="ORD-10580"/>
    <x v="538"/>
    <s v="Maria Johnson"/>
    <x v="0"/>
    <x v="0"/>
    <x v="0"/>
    <x v="0"/>
    <x v="3"/>
    <n v="9"/>
    <n v="45.48"/>
    <x v="1"/>
    <n v="327.45999999999998"/>
    <n v="10.43"/>
    <n v="91.9"/>
    <x v="1"/>
  </r>
  <r>
    <s v="ORD-11269"/>
    <x v="538"/>
    <s v="Sophie Johansson"/>
    <x v="0"/>
    <x v="6"/>
    <x v="2"/>
    <x v="1"/>
    <x v="10"/>
    <n v="1"/>
    <n v="4.87"/>
    <x v="2"/>
    <n v="4.1399999999999997"/>
    <n v="12.43"/>
    <n v="-10.48"/>
    <x v="3"/>
  </r>
  <r>
    <s v="ORD-11341"/>
    <x v="539"/>
    <s v="Li MÃ¼ller"/>
    <x v="0"/>
    <x v="9"/>
    <x v="3"/>
    <x v="0"/>
    <x v="29"/>
    <n v="3"/>
    <n v="19.93"/>
    <x v="6"/>
    <n v="44.84"/>
    <n v="13.57"/>
    <n v="-1.61"/>
    <x v="1"/>
  </r>
  <r>
    <s v="ORD-10939"/>
    <x v="540"/>
    <s v="Lucas Park"/>
    <x v="1"/>
    <x v="6"/>
    <x v="2"/>
    <x v="2"/>
    <x v="14"/>
    <n v="1"/>
    <n v="239.53"/>
    <x v="6"/>
    <n v="179.65"/>
    <n v="12.02"/>
    <n v="23.91"/>
    <x v="2"/>
  </r>
  <r>
    <s v="ORD-11623"/>
    <x v="540"/>
    <s v="Ivan Romano"/>
    <x v="1"/>
    <x v="5"/>
    <x v="3"/>
    <x v="1"/>
    <x v="23"/>
    <n v="1"/>
    <n v="17.329999999999998"/>
    <x v="6"/>
    <n v="13"/>
    <n v="11.28"/>
    <n v="-6.08"/>
    <x v="1"/>
  </r>
  <r>
    <s v="ORD-11874"/>
    <x v="540"/>
    <s v="Thomas Johnson"/>
    <x v="0"/>
    <x v="0"/>
    <x v="0"/>
    <x v="2"/>
    <x v="15"/>
    <n v="1"/>
    <n v="292.37"/>
    <x v="2"/>
    <n v="248.51"/>
    <n v="5.62"/>
    <n v="67.47"/>
    <x v="1"/>
  </r>
  <r>
    <s v="ORD-11864"/>
    <x v="541"/>
    <s v="Zara Hassan"/>
    <x v="1"/>
    <x v="0"/>
    <x v="0"/>
    <x v="1"/>
    <x v="20"/>
    <n v="1"/>
    <n v="13.36"/>
    <x v="0"/>
    <n v="13.36"/>
    <n v="7.32"/>
    <n v="0.03"/>
    <x v="1"/>
  </r>
  <r>
    <s v="ORD-10540"/>
    <x v="542"/>
    <s v="Thomas Jackson"/>
    <x v="2"/>
    <x v="15"/>
    <x v="2"/>
    <x v="1"/>
    <x v="25"/>
    <n v="3"/>
    <n v="12.11"/>
    <x v="0"/>
    <n v="36.33"/>
    <n v="14.03"/>
    <n v="5.95"/>
    <x v="1"/>
  </r>
  <r>
    <s v="ORD-11054"/>
    <x v="542"/>
    <s v="Ingrid Martinez"/>
    <x v="2"/>
    <x v="13"/>
    <x v="0"/>
    <x v="2"/>
    <x v="36"/>
    <n v="5"/>
    <n v="94.04"/>
    <x v="4"/>
    <n v="446.69"/>
    <n v="14.2"/>
    <n v="150.37"/>
    <x v="2"/>
  </r>
  <r>
    <s v="ORD-10443"/>
    <x v="543"/>
    <s v="Elizabeth Patel"/>
    <x v="1"/>
    <x v="12"/>
    <x v="4"/>
    <x v="0"/>
    <x v="7"/>
    <n v="1"/>
    <n v="40.25"/>
    <x v="4"/>
    <n v="38.24"/>
    <n v="12.49"/>
    <n v="3.61"/>
    <x v="1"/>
  </r>
  <r>
    <s v="ORD-10449"/>
    <x v="543"/>
    <s v="Susan Patel"/>
    <x v="0"/>
    <x v="3"/>
    <x v="1"/>
    <x v="0"/>
    <x v="29"/>
    <n v="2"/>
    <n v="24.54"/>
    <x v="2"/>
    <n v="41.72"/>
    <n v="10.57"/>
    <n v="4.16"/>
    <x v="2"/>
  </r>
  <r>
    <s v="ORD-11822"/>
    <x v="544"/>
    <s v="Hanna Thomas"/>
    <x v="0"/>
    <x v="14"/>
    <x v="1"/>
    <x v="0"/>
    <x v="22"/>
    <n v="2"/>
    <n v="96.97"/>
    <x v="2"/>
    <n v="164.85"/>
    <n v="8.99"/>
    <n v="49.19"/>
    <x v="2"/>
  </r>
  <r>
    <s v="ORD-11836"/>
    <x v="544"/>
    <s v="Richard Jackson"/>
    <x v="2"/>
    <x v="8"/>
    <x v="1"/>
    <x v="1"/>
    <x v="25"/>
    <n v="7"/>
    <n v="16.12"/>
    <x v="2"/>
    <n v="95.91"/>
    <n v="12.12"/>
    <n v="33.01"/>
    <x v="0"/>
  </r>
  <r>
    <s v="ORD-10453"/>
    <x v="545"/>
    <s v="Olivia Nilsson"/>
    <x v="2"/>
    <x v="10"/>
    <x v="3"/>
    <x v="0"/>
    <x v="29"/>
    <n v="2"/>
    <n v="36.840000000000003"/>
    <x v="1"/>
    <n v="58.94"/>
    <n v="10.85"/>
    <n v="7.57"/>
    <x v="1"/>
  </r>
  <r>
    <s v="ORD-10707"/>
    <x v="545"/>
    <s v="Giulia Li"/>
    <x v="1"/>
    <x v="15"/>
    <x v="2"/>
    <x v="3"/>
    <x v="13"/>
    <n v="1"/>
    <n v="130.63"/>
    <x v="1"/>
    <n v="104.5"/>
    <n v="11.85"/>
    <n v="27.34"/>
    <x v="0"/>
  </r>
  <r>
    <s v="ORD-11037"/>
    <x v="545"/>
    <s v="Fatima Williams"/>
    <x v="0"/>
    <x v="3"/>
    <x v="1"/>
    <x v="3"/>
    <x v="37"/>
    <n v="7"/>
    <n v="46.74"/>
    <x v="3"/>
    <n v="294.45999999999998"/>
    <n v="12.49"/>
    <n v="118.38"/>
    <x v="3"/>
  </r>
  <r>
    <s v="ORD-11807"/>
    <x v="545"/>
    <s v="Amina Harris"/>
    <x v="1"/>
    <x v="0"/>
    <x v="0"/>
    <x v="0"/>
    <x v="7"/>
    <n v="2"/>
    <n v="38.76"/>
    <x v="4"/>
    <n v="73.64"/>
    <n v="6.68"/>
    <n v="24.32"/>
    <x v="1"/>
  </r>
  <r>
    <s v="ORD-10088"/>
    <x v="546"/>
    <s v="David Rodriguez"/>
    <x v="1"/>
    <x v="16"/>
    <x v="3"/>
    <x v="2"/>
    <x v="8"/>
    <n v="3"/>
    <n v="87.75"/>
    <x v="3"/>
    <n v="236.93"/>
    <n v="11.1"/>
    <n v="67.88"/>
    <x v="3"/>
  </r>
  <r>
    <s v="ORD-10693"/>
    <x v="546"/>
    <s v="Hanna Weber"/>
    <x v="0"/>
    <x v="5"/>
    <x v="3"/>
    <x v="1"/>
    <x v="2"/>
    <n v="8"/>
    <n v="10.52"/>
    <x v="1"/>
    <n v="67.33"/>
    <n v="19.22"/>
    <n v="10.24"/>
    <x v="1"/>
  </r>
  <r>
    <s v="ORD-10912"/>
    <x v="546"/>
    <s v="William Ferrari"/>
    <x v="0"/>
    <x v="8"/>
    <x v="1"/>
    <x v="1"/>
    <x v="20"/>
    <n v="3"/>
    <n v="13.97"/>
    <x v="0"/>
    <n v="41.91"/>
    <n v="10.72"/>
    <n v="12.33"/>
    <x v="3"/>
  </r>
  <r>
    <s v="ORD-11170"/>
    <x v="546"/>
    <s v="Ava Miller"/>
    <x v="1"/>
    <x v="5"/>
    <x v="3"/>
    <x v="0"/>
    <x v="3"/>
    <n v="5"/>
    <n v="51.41"/>
    <x v="4"/>
    <n v="244.2"/>
    <n v="16.43"/>
    <n v="86.39"/>
    <x v="2"/>
  </r>
  <r>
    <s v="ORD-11627"/>
    <x v="546"/>
    <s v="Giulia Brown"/>
    <x v="1"/>
    <x v="1"/>
    <x v="1"/>
    <x v="0"/>
    <x v="29"/>
    <n v="4"/>
    <n v="23.76"/>
    <x v="0"/>
    <n v="95.04"/>
    <n v="14.61"/>
    <n v="28.16"/>
    <x v="0"/>
  </r>
  <r>
    <s v="ORD-11615"/>
    <x v="547"/>
    <s v="Marco Rodriguez"/>
    <x v="1"/>
    <x v="10"/>
    <x v="3"/>
    <x v="3"/>
    <x v="26"/>
    <n v="1"/>
    <n v="47.84"/>
    <x v="4"/>
    <n v="45.45"/>
    <n v="11.34"/>
    <n v="10.19"/>
    <x v="2"/>
  </r>
  <r>
    <s v="ORD-11267"/>
    <x v="548"/>
    <s v="Li Rossi"/>
    <x v="0"/>
    <x v="18"/>
    <x v="4"/>
    <x v="0"/>
    <x v="28"/>
    <n v="3"/>
    <n v="45.95"/>
    <x v="2"/>
    <n v="117.17"/>
    <n v="15.95"/>
    <n v="25.4"/>
    <x v="0"/>
  </r>
  <r>
    <s v="ORD-11455"/>
    <x v="548"/>
    <s v="Omar Thomas"/>
    <x v="1"/>
    <x v="3"/>
    <x v="1"/>
    <x v="3"/>
    <x v="30"/>
    <n v="7"/>
    <n v="16.16"/>
    <x v="0"/>
    <n v="113.12"/>
    <n v="13.07"/>
    <n v="43.49"/>
    <x v="3"/>
  </r>
  <r>
    <s v="ORD-10659"/>
    <x v="549"/>
    <s v="Barbara Miller"/>
    <x v="1"/>
    <x v="5"/>
    <x v="3"/>
    <x v="3"/>
    <x v="24"/>
    <n v="2"/>
    <n v="39.32"/>
    <x v="4"/>
    <n v="74.709999999999994"/>
    <n v="13.59"/>
    <n v="21.8"/>
    <x v="1"/>
  </r>
  <r>
    <s v="ORD-10944"/>
    <x v="549"/>
    <s v="Mary White"/>
    <x v="1"/>
    <x v="0"/>
    <x v="0"/>
    <x v="2"/>
    <x v="39"/>
    <n v="3"/>
    <n v="210.89"/>
    <x v="4"/>
    <n v="601.04"/>
    <n v="11.78"/>
    <n v="209.66"/>
    <x v="0"/>
  </r>
  <r>
    <s v="ORD-11319"/>
    <x v="549"/>
    <s v="Raj Sato"/>
    <x v="0"/>
    <x v="18"/>
    <x v="4"/>
    <x v="1"/>
    <x v="2"/>
    <n v="9"/>
    <n v="11.89"/>
    <x v="3"/>
    <n v="96.31"/>
    <n v="25.6"/>
    <n v="22.56"/>
    <x v="2"/>
  </r>
  <r>
    <s v="ORD-10217"/>
    <x v="550"/>
    <s v="Layla Garcia"/>
    <x v="0"/>
    <x v="0"/>
    <x v="0"/>
    <x v="2"/>
    <x v="4"/>
    <n v="2"/>
    <n v="177.54"/>
    <x v="6"/>
    <n v="266.31"/>
    <n v="6.95"/>
    <n v="46.31"/>
    <x v="1"/>
  </r>
  <r>
    <s v="ORD-10621"/>
    <x v="550"/>
    <s v="David Schmidt"/>
    <x v="1"/>
    <x v="14"/>
    <x v="1"/>
    <x v="3"/>
    <x v="37"/>
    <n v="12"/>
    <n v="42.25"/>
    <x v="0"/>
    <n v="507"/>
    <n v="23.04"/>
    <n v="230.46"/>
    <x v="3"/>
  </r>
  <r>
    <s v="ORD-10765"/>
    <x v="550"/>
    <s v="Priya Sato"/>
    <x v="1"/>
    <x v="1"/>
    <x v="1"/>
    <x v="1"/>
    <x v="19"/>
    <n v="2"/>
    <n v="10.34"/>
    <x v="3"/>
    <n v="18.61"/>
    <n v="11.42"/>
    <n v="-2.12"/>
    <x v="0"/>
  </r>
  <r>
    <s v="ORD-11451"/>
    <x v="550"/>
    <s v="Carlos Davis"/>
    <x v="2"/>
    <x v="10"/>
    <x v="3"/>
    <x v="2"/>
    <x v="21"/>
    <n v="2"/>
    <n v="54.34"/>
    <x v="3"/>
    <n v="97.81"/>
    <n v="11.65"/>
    <n v="20.95"/>
    <x v="1"/>
  </r>
  <r>
    <s v="ORD-11502"/>
    <x v="550"/>
    <s v="Fatima Singh"/>
    <x v="0"/>
    <x v="11"/>
    <x v="2"/>
    <x v="3"/>
    <x v="27"/>
    <n v="12"/>
    <n v="61.78"/>
    <x v="4"/>
    <n v="704.29"/>
    <n v="20.350000000000001"/>
    <n v="313.26"/>
    <x v="2"/>
  </r>
  <r>
    <s v="ORD-11716"/>
    <x v="550"/>
    <s v="Barbara Moreau"/>
    <x v="2"/>
    <x v="15"/>
    <x v="2"/>
    <x v="1"/>
    <x v="20"/>
    <n v="2"/>
    <n v="17.350000000000001"/>
    <x v="0"/>
    <n v="34.700000000000003"/>
    <n v="14.15"/>
    <n v="4.9400000000000004"/>
    <x v="2"/>
  </r>
  <r>
    <s v="ORD-11618"/>
    <x v="551"/>
    <s v="Christopher Fischer"/>
    <x v="1"/>
    <x v="8"/>
    <x v="1"/>
    <x v="1"/>
    <x v="38"/>
    <n v="2"/>
    <n v="8.2899999999999991"/>
    <x v="0"/>
    <n v="16.579999999999998"/>
    <n v="8.77"/>
    <n v="0.35"/>
    <x v="2"/>
  </r>
  <r>
    <s v="ORD-11146"/>
    <x v="552"/>
    <s v="James Harris"/>
    <x v="1"/>
    <x v="17"/>
    <x v="3"/>
    <x v="2"/>
    <x v="21"/>
    <n v="5"/>
    <n v="83.62"/>
    <x v="4"/>
    <n v="397.19"/>
    <n v="12.72"/>
    <n v="133.61000000000001"/>
    <x v="2"/>
  </r>
  <r>
    <s v="ORD-11252"/>
    <x v="552"/>
    <s v="Layla Garcia"/>
    <x v="1"/>
    <x v="19"/>
    <x v="1"/>
    <x v="0"/>
    <x v="1"/>
    <n v="2"/>
    <n v="144.76"/>
    <x v="2"/>
    <n v="246.09"/>
    <n v="11.27"/>
    <n v="75.58"/>
    <x v="2"/>
  </r>
  <r>
    <s v="ORD-10389"/>
    <x v="553"/>
    <s v="Ingrid Sato"/>
    <x v="1"/>
    <x v="13"/>
    <x v="0"/>
    <x v="2"/>
    <x v="5"/>
    <n v="1"/>
    <n v="88.95"/>
    <x v="4"/>
    <n v="84.5"/>
    <n v="7.1"/>
    <n v="24.03"/>
    <x v="0"/>
  </r>
  <r>
    <s v="ORD-10405"/>
    <x v="553"/>
    <s v="Zara Fischer"/>
    <x v="1"/>
    <x v="17"/>
    <x v="3"/>
    <x v="2"/>
    <x v="21"/>
    <n v="1"/>
    <n v="44.69"/>
    <x v="0"/>
    <n v="44.69"/>
    <n v="10.64"/>
    <n v="7.24"/>
    <x v="0"/>
  </r>
  <r>
    <s v="ORD-10539"/>
    <x v="553"/>
    <s v="Chen Patel"/>
    <x v="2"/>
    <x v="9"/>
    <x v="3"/>
    <x v="3"/>
    <x v="11"/>
    <n v="2"/>
    <n v="106.07"/>
    <x v="3"/>
    <n v="190.93"/>
    <n v="12.94"/>
    <n v="71.92"/>
    <x v="0"/>
  </r>
  <r>
    <s v="ORD-10924"/>
    <x v="553"/>
    <s v="Sakura Ahmed"/>
    <x v="0"/>
    <x v="8"/>
    <x v="1"/>
    <x v="2"/>
    <x v="32"/>
    <n v="3"/>
    <n v="55.43"/>
    <x v="2"/>
    <n v="141.35"/>
    <n v="13.74"/>
    <n v="27.84"/>
    <x v="0"/>
  </r>
  <r>
    <s v="ORD-11853"/>
    <x v="553"/>
    <s v="Elizabeth Johnson"/>
    <x v="2"/>
    <x v="13"/>
    <x v="0"/>
    <x v="0"/>
    <x v="7"/>
    <n v="7"/>
    <n v="58.73"/>
    <x v="0"/>
    <n v="411.11"/>
    <n v="19.170000000000002"/>
    <n v="165.83"/>
    <x v="3"/>
  </r>
  <r>
    <s v="ORD-10061"/>
    <x v="554"/>
    <s v="Ethan Sato"/>
    <x v="1"/>
    <x v="5"/>
    <x v="3"/>
    <x v="2"/>
    <x v="14"/>
    <n v="9"/>
    <n v="215.11"/>
    <x v="2"/>
    <n v="1645.59"/>
    <n v="23.4"/>
    <n v="460.6"/>
    <x v="2"/>
  </r>
  <r>
    <s v="ORD-10014"/>
    <x v="555"/>
    <s v="Elizabeth Wang"/>
    <x v="0"/>
    <x v="0"/>
    <x v="0"/>
    <x v="0"/>
    <x v="1"/>
    <n v="3"/>
    <n v="86.2"/>
    <x v="3"/>
    <n v="232.74"/>
    <n v="10.84"/>
    <n v="79.67"/>
    <x v="0"/>
  </r>
  <r>
    <s v="ORD-10865"/>
    <x v="555"/>
    <s v="Mia Laurent"/>
    <x v="0"/>
    <x v="14"/>
    <x v="1"/>
    <x v="3"/>
    <x v="33"/>
    <n v="4"/>
    <n v="21.57"/>
    <x v="3"/>
    <n v="77.650000000000006"/>
    <n v="11.54"/>
    <n v="22.97"/>
    <x v="1"/>
  </r>
  <r>
    <s v="ORD-11296"/>
    <x v="555"/>
    <s v="Linda Thompson"/>
    <x v="1"/>
    <x v="19"/>
    <x v="1"/>
    <x v="1"/>
    <x v="6"/>
    <n v="5"/>
    <n v="20.84"/>
    <x v="0"/>
    <n v="104.2"/>
    <n v="15.39"/>
    <n v="41.92"/>
    <x v="2"/>
  </r>
  <r>
    <s v="ORD-10193"/>
    <x v="556"/>
    <s v="Fatima Zhang"/>
    <x v="1"/>
    <x v="0"/>
    <x v="0"/>
    <x v="1"/>
    <x v="38"/>
    <n v="2"/>
    <n v="6.32"/>
    <x v="0"/>
    <n v="12.64"/>
    <n v="8.56"/>
    <n v="-1.61"/>
    <x v="2"/>
  </r>
  <r>
    <s v="ORD-10433"/>
    <x v="557"/>
    <s v="Mary Fischer"/>
    <x v="1"/>
    <x v="7"/>
    <x v="4"/>
    <x v="2"/>
    <x v="32"/>
    <n v="1"/>
    <n v="40.909999999999997"/>
    <x v="1"/>
    <n v="32.729999999999997"/>
    <n v="12"/>
    <n v="-3.82"/>
    <x v="3"/>
  </r>
  <r>
    <s v="ORD-10638"/>
    <x v="557"/>
    <s v="Hanna Sharma"/>
    <x v="2"/>
    <x v="5"/>
    <x v="3"/>
    <x v="2"/>
    <x v="39"/>
    <n v="8"/>
    <n v="171.68"/>
    <x v="3"/>
    <n v="1236.0999999999999"/>
    <n v="16.97"/>
    <n v="395.07"/>
    <x v="2"/>
  </r>
  <r>
    <s v="ORD-10785"/>
    <x v="557"/>
    <s v="Ayumi Laurent"/>
    <x v="1"/>
    <x v="12"/>
    <x v="4"/>
    <x v="2"/>
    <x v="36"/>
    <n v="2"/>
    <n v="288.51"/>
    <x v="0"/>
    <n v="577.02"/>
    <n v="13.32"/>
    <n v="217.49"/>
    <x v="3"/>
  </r>
  <r>
    <s v="ORD-10794"/>
    <x v="557"/>
    <s v="Noah Ferrari"/>
    <x v="1"/>
    <x v="13"/>
    <x v="0"/>
    <x v="3"/>
    <x v="27"/>
    <n v="4"/>
    <n v="57.02"/>
    <x v="3"/>
    <n v="205.27"/>
    <n v="7.42"/>
    <n v="83.81"/>
    <x v="1"/>
  </r>
  <r>
    <s v="ORD-11629"/>
    <x v="557"/>
    <s v="Thomas Costa"/>
    <x v="1"/>
    <x v="3"/>
    <x v="1"/>
    <x v="3"/>
    <x v="9"/>
    <n v="3"/>
    <n v="58.15"/>
    <x v="4"/>
    <n v="165.73"/>
    <n v="14.36"/>
    <n v="64.14"/>
    <x v="2"/>
  </r>
  <r>
    <s v="ORD-11790"/>
    <x v="557"/>
    <s v="Wei Wang"/>
    <x v="1"/>
    <x v="9"/>
    <x v="3"/>
    <x v="1"/>
    <x v="10"/>
    <n v="14"/>
    <n v="7.5"/>
    <x v="0"/>
    <n v="105"/>
    <n v="20.9"/>
    <n v="36.85"/>
    <x v="1"/>
  </r>
  <r>
    <s v="ORD-10120"/>
    <x v="558"/>
    <s v="Ali Hassan"/>
    <x v="2"/>
    <x v="2"/>
    <x v="0"/>
    <x v="0"/>
    <x v="3"/>
    <n v="2"/>
    <n v="56.22"/>
    <x v="4"/>
    <n v="106.82"/>
    <n v="9.83"/>
    <n v="35.15"/>
    <x v="1"/>
  </r>
  <r>
    <s v="ORD-10415"/>
    <x v="559"/>
    <s v="Layla Williams"/>
    <x v="0"/>
    <x v="9"/>
    <x v="3"/>
    <x v="2"/>
    <x v="15"/>
    <n v="5"/>
    <n v="186.09"/>
    <x v="2"/>
    <n v="790.88"/>
    <n v="11.72"/>
    <n v="220.89"/>
    <x v="3"/>
  </r>
  <r>
    <s v="ORD-10633"/>
    <x v="559"/>
    <s v="Wei Moreau"/>
    <x v="1"/>
    <x v="14"/>
    <x v="1"/>
    <x v="0"/>
    <x v="18"/>
    <n v="1"/>
    <n v="57.7"/>
    <x v="0"/>
    <n v="57.7"/>
    <n v="7.94"/>
    <n v="18.02"/>
    <x v="2"/>
  </r>
  <r>
    <s v="ORD-10715"/>
    <x v="560"/>
    <s v="Hans Miller"/>
    <x v="2"/>
    <x v="0"/>
    <x v="0"/>
    <x v="0"/>
    <x v="7"/>
    <n v="4"/>
    <n v="74.260000000000005"/>
    <x v="0"/>
    <n v="297.04000000000002"/>
    <n v="11.24"/>
    <n v="122.43"/>
    <x v="2"/>
  </r>
  <r>
    <s v="ORD-11371"/>
    <x v="561"/>
    <s v="Omar Yamamoto"/>
    <x v="2"/>
    <x v="19"/>
    <x v="1"/>
    <x v="0"/>
    <x v="35"/>
    <n v="4"/>
    <n v="66.349999999999994"/>
    <x v="4"/>
    <n v="252.13"/>
    <n v="12.59"/>
    <n v="93.57"/>
    <x v="1"/>
  </r>
  <r>
    <s v="ORD-11223"/>
    <x v="562"/>
    <s v="Nadia Dubois"/>
    <x v="1"/>
    <x v="0"/>
    <x v="0"/>
    <x v="3"/>
    <x v="13"/>
    <n v="1"/>
    <n v="45.27"/>
    <x v="4"/>
    <n v="43.01"/>
    <n v="6.72"/>
    <n v="13.65"/>
    <x v="1"/>
  </r>
  <r>
    <s v="ORD-11617"/>
    <x v="562"/>
    <s v="Felix Romano"/>
    <x v="0"/>
    <x v="2"/>
    <x v="0"/>
    <x v="1"/>
    <x v="19"/>
    <n v="2"/>
    <n v="6.86"/>
    <x v="0"/>
    <n v="13.72"/>
    <n v="8.1"/>
    <n v="-0.55000000000000004"/>
    <x v="3"/>
  </r>
  <r>
    <s v="ORD-10150"/>
    <x v="563"/>
    <s v="Zara Williams"/>
    <x v="1"/>
    <x v="9"/>
    <x v="3"/>
    <x v="0"/>
    <x v="31"/>
    <n v="7"/>
    <n v="123.89"/>
    <x v="0"/>
    <n v="867.23"/>
    <n v="19.559999999999999"/>
    <n v="370.69"/>
    <x v="1"/>
  </r>
  <r>
    <s v="ORD-10151"/>
    <x v="563"/>
    <s v="Joseph Ali"/>
    <x v="1"/>
    <x v="19"/>
    <x v="1"/>
    <x v="1"/>
    <x v="23"/>
    <n v="1"/>
    <n v="15.77"/>
    <x v="3"/>
    <n v="14.19"/>
    <n v="8.7799999999999994"/>
    <n v="-1.69"/>
    <x v="2"/>
  </r>
  <r>
    <s v="ORD-10400"/>
    <x v="563"/>
    <s v="Ahmed Tanaka"/>
    <x v="0"/>
    <x v="0"/>
    <x v="0"/>
    <x v="1"/>
    <x v="20"/>
    <n v="1"/>
    <n v="8.27"/>
    <x v="2"/>
    <n v="7.03"/>
    <n v="5.6"/>
    <n v="-2.29"/>
    <x v="1"/>
  </r>
  <r>
    <s v="ORD-10830"/>
    <x v="563"/>
    <s v="Ivan Robinson"/>
    <x v="1"/>
    <x v="19"/>
    <x v="1"/>
    <x v="3"/>
    <x v="16"/>
    <n v="11"/>
    <n v="36.18"/>
    <x v="3"/>
    <n v="358.18"/>
    <n v="16.03"/>
    <n v="143.16"/>
    <x v="1"/>
  </r>
  <r>
    <s v="ORD-11902"/>
    <x v="563"/>
    <s v="Christopher Miller"/>
    <x v="1"/>
    <x v="10"/>
    <x v="3"/>
    <x v="1"/>
    <x v="25"/>
    <n v="3"/>
    <n v="13.86"/>
    <x v="0"/>
    <n v="41.58"/>
    <n v="13.05"/>
    <n v="9.82"/>
    <x v="2"/>
  </r>
  <r>
    <s v="ORD-10243"/>
    <x v="564"/>
    <s v="Pierre Hassan"/>
    <x v="2"/>
    <x v="0"/>
    <x v="0"/>
    <x v="2"/>
    <x v="32"/>
    <n v="4"/>
    <n v="36.53"/>
    <x v="4"/>
    <n v="138.81"/>
    <n v="13.3"/>
    <n v="37.840000000000003"/>
    <x v="3"/>
  </r>
  <r>
    <s v="ORD-10048"/>
    <x v="565"/>
    <s v="Sophie Kim"/>
    <x v="1"/>
    <x v="10"/>
    <x v="3"/>
    <x v="0"/>
    <x v="3"/>
    <n v="1"/>
    <n v="40.909999999999997"/>
    <x v="2"/>
    <n v="34.770000000000003"/>
    <n v="10.18"/>
    <n v="2.09"/>
    <x v="0"/>
  </r>
  <r>
    <s v="ORD-10401"/>
    <x v="566"/>
    <s v="Ayumi Robinson"/>
    <x v="0"/>
    <x v="0"/>
    <x v="0"/>
    <x v="0"/>
    <x v="35"/>
    <n v="3"/>
    <n v="62.77"/>
    <x v="0"/>
    <n v="188.31"/>
    <n v="11.8"/>
    <n v="72.94"/>
    <x v="1"/>
  </r>
  <r>
    <s v="ORD-11327"/>
    <x v="566"/>
    <s v="Amir Johansson"/>
    <x v="1"/>
    <x v="10"/>
    <x v="3"/>
    <x v="1"/>
    <x v="6"/>
    <n v="4"/>
    <n v="9.84"/>
    <x v="3"/>
    <n v="35.42"/>
    <n v="13.78"/>
    <n v="3.93"/>
    <x v="0"/>
  </r>
  <r>
    <s v="ORD-11039"/>
    <x v="567"/>
    <s v="Li Miller"/>
    <x v="1"/>
    <x v="19"/>
    <x v="1"/>
    <x v="0"/>
    <x v="35"/>
    <n v="2"/>
    <n v="39.61"/>
    <x v="1"/>
    <n v="63.38"/>
    <n v="10.199999999999999"/>
    <n v="9.61"/>
    <x v="1"/>
  </r>
  <r>
    <s v="ORD-11369"/>
    <x v="567"/>
    <s v="Lucas MÃ¼ller"/>
    <x v="1"/>
    <x v="5"/>
    <x v="3"/>
    <x v="3"/>
    <x v="33"/>
    <n v="1"/>
    <n v="31.83"/>
    <x v="2"/>
    <n v="27.06"/>
    <n v="11.46"/>
    <n v="-0.32"/>
    <x v="2"/>
  </r>
  <r>
    <s v="ORD-11506"/>
    <x v="567"/>
    <s v="Clara Miller"/>
    <x v="0"/>
    <x v="15"/>
    <x v="2"/>
    <x v="2"/>
    <x v="4"/>
    <n v="5"/>
    <n v="239.49"/>
    <x v="4"/>
    <n v="1137.58"/>
    <n v="17.88"/>
    <n v="401.23"/>
    <x v="2"/>
  </r>
  <r>
    <s v="ORD-11590"/>
    <x v="567"/>
    <s v="James Oliveira"/>
    <x v="0"/>
    <x v="0"/>
    <x v="0"/>
    <x v="1"/>
    <x v="10"/>
    <n v="6"/>
    <n v="6.5"/>
    <x v="1"/>
    <n v="31.2"/>
    <n v="16.690000000000001"/>
    <n v="-3.04"/>
    <x v="2"/>
  </r>
  <r>
    <s v="ORD-11943"/>
    <x v="567"/>
    <s v="Sophie Pereira"/>
    <x v="2"/>
    <x v="1"/>
    <x v="1"/>
    <x v="3"/>
    <x v="13"/>
    <n v="5"/>
    <n v="79.16"/>
    <x v="2"/>
    <n v="336.43"/>
    <n v="12.69"/>
    <n v="125.84"/>
    <x v="1"/>
  </r>
  <r>
    <s v="ORD-11207"/>
    <x v="568"/>
    <s v="Oscar Zhang"/>
    <x v="1"/>
    <x v="8"/>
    <x v="1"/>
    <x v="0"/>
    <x v="18"/>
    <n v="10"/>
    <n v="46.43"/>
    <x v="3"/>
    <n v="417.87"/>
    <n v="22.39"/>
    <n v="140.11000000000001"/>
    <x v="1"/>
  </r>
  <r>
    <s v="ORD-11758"/>
    <x v="568"/>
    <s v="Priya Smith"/>
    <x v="1"/>
    <x v="3"/>
    <x v="1"/>
    <x v="2"/>
    <x v="36"/>
    <n v="6"/>
    <n v="259.75"/>
    <x v="0"/>
    <n v="1558.5"/>
    <n v="10.69"/>
    <n v="612.71"/>
    <x v="1"/>
  </r>
  <r>
    <s v="ORD-10469"/>
    <x v="569"/>
    <s v="Carlos Sharma"/>
    <x v="0"/>
    <x v="2"/>
    <x v="0"/>
    <x v="0"/>
    <x v="7"/>
    <n v="5"/>
    <n v="60.7"/>
    <x v="2"/>
    <n v="257.97000000000003"/>
    <n v="16.21"/>
    <n v="74.84"/>
    <x v="3"/>
  </r>
  <r>
    <s v="ORD-10669"/>
    <x v="569"/>
    <s v="Ava Fischer"/>
    <x v="1"/>
    <x v="2"/>
    <x v="0"/>
    <x v="1"/>
    <x v="20"/>
    <n v="2"/>
    <n v="14.78"/>
    <x v="0"/>
    <n v="29.56"/>
    <n v="6.96"/>
    <n v="9.3000000000000007"/>
    <x v="2"/>
  </r>
  <r>
    <s v="ORD-11335"/>
    <x v="569"/>
    <s v="Ivan Martin"/>
    <x v="1"/>
    <x v="3"/>
    <x v="1"/>
    <x v="1"/>
    <x v="19"/>
    <n v="1"/>
    <n v="13.3"/>
    <x v="0"/>
    <n v="13.3"/>
    <n v="7.89"/>
    <n v="-0.56999999999999995"/>
    <x v="0"/>
  </r>
  <r>
    <s v="ORD-10533"/>
    <x v="570"/>
    <s v="Jennifer Romano"/>
    <x v="1"/>
    <x v="13"/>
    <x v="0"/>
    <x v="3"/>
    <x v="33"/>
    <n v="4"/>
    <n v="18.59"/>
    <x v="4"/>
    <n v="70.64"/>
    <n v="9.08"/>
    <n v="24.38"/>
    <x v="1"/>
  </r>
  <r>
    <s v="ORD-10567"/>
    <x v="570"/>
    <s v="Jessica MÃ¼ller"/>
    <x v="1"/>
    <x v="10"/>
    <x v="3"/>
    <x v="3"/>
    <x v="11"/>
    <n v="7"/>
    <n v="75.25"/>
    <x v="3"/>
    <n v="474.07"/>
    <n v="19.97"/>
    <n v="190.72"/>
    <x v="2"/>
  </r>
  <r>
    <s v="ORD-10093"/>
    <x v="571"/>
    <s v="Raj Johnson"/>
    <x v="1"/>
    <x v="17"/>
    <x v="3"/>
    <x v="2"/>
    <x v="5"/>
    <n v="3"/>
    <n v="181.78"/>
    <x v="4"/>
    <n v="518.07000000000005"/>
    <n v="11.35"/>
    <n v="179.52"/>
    <x v="2"/>
  </r>
  <r>
    <s v="ORD-11257"/>
    <x v="571"/>
    <s v="Olivia Zhang"/>
    <x v="2"/>
    <x v="2"/>
    <x v="0"/>
    <x v="1"/>
    <x v="2"/>
    <n v="5"/>
    <n v="15.61"/>
    <x v="4"/>
    <n v="74.150000000000006"/>
    <n v="14.63"/>
    <n v="24.4"/>
    <x v="2"/>
  </r>
  <r>
    <s v="ORD-11445"/>
    <x v="571"/>
    <s v="Ava Rodriguez"/>
    <x v="0"/>
    <x v="19"/>
    <x v="1"/>
    <x v="1"/>
    <x v="6"/>
    <n v="2"/>
    <n v="11.05"/>
    <x v="4"/>
    <n v="21"/>
    <n v="8.64"/>
    <n v="2.41"/>
    <x v="2"/>
  </r>
  <r>
    <s v="ORD-10239"/>
    <x v="572"/>
    <s v="James Ali"/>
    <x v="2"/>
    <x v="0"/>
    <x v="0"/>
    <x v="1"/>
    <x v="17"/>
    <n v="1"/>
    <n v="6.95"/>
    <x v="3"/>
    <n v="6.25"/>
    <n v="5.78"/>
    <n v="-2.66"/>
    <x v="1"/>
  </r>
  <r>
    <s v="ORD-11043"/>
    <x v="572"/>
    <s v="Liam Patel"/>
    <x v="2"/>
    <x v="12"/>
    <x v="4"/>
    <x v="1"/>
    <x v="17"/>
    <n v="7"/>
    <n v="17.170000000000002"/>
    <x v="1"/>
    <n v="96.15"/>
    <n v="24.44"/>
    <n v="17.62"/>
    <x v="2"/>
  </r>
  <r>
    <s v="ORD-11113"/>
    <x v="572"/>
    <s v="Oscar Anderson"/>
    <x v="0"/>
    <x v="8"/>
    <x v="1"/>
    <x v="3"/>
    <x v="27"/>
    <n v="2"/>
    <n v="50.22"/>
    <x v="3"/>
    <n v="90.4"/>
    <n v="9.49"/>
    <n v="30.69"/>
    <x v="1"/>
  </r>
  <r>
    <s v="ORD-10046"/>
    <x v="573"/>
    <s v="Ethan Moreau"/>
    <x v="1"/>
    <x v="1"/>
    <x v="1"/>
    <x v="0"/>
    <x v="18"/>
    <n v="1"/>
    <n v="66.12"/>
    <x v="1"/>
    <n v="52.9"/>
    <n v="8.77"/>
    <n v="7.76"/>
    <x v="3"/>
  </r>
  <r>
    <s v="ORD-10543"/>
    <x v="574"/>
    <s v="Maria Suzuki"/>
    <x v="0"/>
    <x v="2"/>
    <x v="0"/>
    <x v="3"/>
    <x v="26"/>
    <n v="4"/>
    <n v="36.61"/>
    <x v="6"/>
    <n v="109.83"/>
    <n v="11.22"/>
    <n v="25.39"/>
    <x v="2"/>
  </r>
  <r>
    <s v="ORD-10602"/>
    <x v="574"/>
    <s v="Sakura Thomas"/>
    <x v="0"/>
    <x v="0"/>
    <x v="0"/>
    <x v="0"/>
    <x v="35"/>
    <n v="12"/>
    <n v="54.74"/>
    <x v="3"/>
    <n v="591.19000000000005"/>
    <n v="18.95"/>
    <n v="210.96"/>
    <x v="2"/>
  </r>
  <r>
    <s v="ORD-10969"/>
    <x v="574"/>
    <s v="Jessica Moreau"/>
    <x v="0"/>
    <x v="8"/>
    <x v="1"/>
    <x v="3"/>
    <x v="13"/>
    <n v="7"/>
    <n v="81.97"/>
    <x v="0"/>
    <n v="573.79"/>
    <n v="17.03"/>
    <n v="269.87"/>
    <x v="2"/>
  </r>
  <r>
    <s v="ORD-11869"/>
    <x v="574"/>
    <s v="Linda Smith"/>
    <x v="1"/>
    <x v="2"/>
    <x v="0"/>
    <x v="2"/>
    <x v="36"/>
    <n v="6"/>
    <n v="120.71"/>
    <x v="4"/>
    <n v="688.05"/>
    <n v="16.62"/>
    <n v="236.87"/>
    <x v="1"/>
  </r>
  <r>
    <s v="ORD-10491"/>
    <x v="575"/>
    <s v="Sarah Santos"/>
    <x v="1"/>
    <x v="7"/>
    <x v="4"/>
    <x v="0"/>
    <x v="22"/>
    <n v="6"/>
    <n v="62.59"/>
    <x v="0"/>
    <n v="375.54"/>
    <n v="23.28"/>
    <n v="145.71"/>
    <x v="1"/>
  </r>
  <r>
    <s v="ORD-11211"/>
    <x v="576"/>
    <s v="James Johansson"/>
    <x v="0"/>
    <x v="14"/>
    <x v="1"/>
    <x v="0"/>
    <x v="35"/>
    <n v="8"/>
    <n v="63.14"/>
    <x v="2"/>
    <n v="429.35"/>
    <n v="19.46"/>
    <n v="132.07"/>
    <x v="2"/>
  </r>
  <r>
    <s v="ORD-10436"/>
    <x v="577"/>
    <s v="Pierre Weber"/>
    <x v="1"/>
    <x v="8"/>
    <x v="1"/>
    <x v="3"/>
    <x v="33"/>
    <n v="6"/>
    <n v="38.82"/>
    <x v="2"/>
    <n v="197.98"/>
    <n v="19.03"/>
    <n v="62.49"/>
    <x v="2"/>
  </r>
  <r>
    <s v="ORD-10701"/>
    <x v="577"/>
    <s v="Yuki Thomas"/>
    <x v="0"/>
    <x v="18"/>
    <x v="4"/>
    <x v="2"/>
    <x v="14"/>
    <n v="1"/>
    <n v="446.58"/>
    <x v="2"/>
    <n v="379.59"/>
    <n v="10.59"/>
    <n v="101.05"/>
    <x v="1"/>
  </r>
  <r>
    <s v="ORD-11338"/>
    <x v="577"/>
    <s v="Nadia Harris"/>
    <x v="2"/>
    <x v="2"/>
    <x v="0"/>
    <x v="3"/>
    <x v="26"/>
    <n v="3"/>
    <n v="24.35"/>
    <x v="2"/>
    <n v="62.09"/>
    <n v="8.1"/>
    <n v="17.46"/>
    <x v="0"/>
  </r>
  <r>
    <s v="ORD-11778"/>
    <x v="578"/>
    <s v="Clara Garcia"/>
    <x v="1"/>
    <x v="9"/>
    <x v="3"/>
    <x v="1"/>
    <x v="23"/>
    <n v="6"/>
    <n v="7.36"/>
    <x v="3"/>
    <n v="39.74"/>
    <n v="18.57"/>
    <n v="1.3"/>
    <x v="3"/>
  </r>
  <r>
    <s v="ORD-11973"/>
    <x v="578"/>
    <s v="Lucas Sato"/>
    <x v="0"/>
    <x v="13"/>
    <x v="0"/>
    <x v="2"/>
    <x v="4"/>
    <n v="3"/>
    <n v="250.01"/>
    <x v="3"/>
    <n v="675.03"/>
    <n v="7.92"/>
    <n v="217.09"/>
    <x v="2"/>
  </r>
  <r>
    <s v="ORD-11980"/>
    <x v="579"/>
    <s v="Ingrid Yamamoto"/>
    <x v="0"/>
    <x v="9"/>
    <x v="3"/>
    <x v="1"/>
    <x v="20"/>
    <n v="1"/>
    <n v="16.46"/>
    <x v="6"/>
    <n v="12.35"/>
    <n v="11.48"/>
    <n v="-6.54"/>
    <x v="2"/>
  </r>
  <r>
    <s v="ORD-10073"/>
    <x v="580"/>
    <s v="Xiao Robinson"/>
    <x v="0"/>
    <x v="13"/>
    <x v="0"/>
    <x v="3"/>
    <x v="24"/>
    <n v="2"/>
    <n v="66.53"/>
    <x v="4"/>
    <n v="126.41"/>
    <n v="9.3800000000000008"/>
    <n v="50.5"/>
    <x v="1"/>
  </r>
  <r>
    <s v="ORD-10134"/>
    <x v="580"/>
    <s v="Wei Ali"/>
    <x v="0"/>
    <x v="19"/>
    <x v="1"/>
    <x v="3"/>
    <x v="33"/>
    <n v="3"/>
    <n v="45.43"/>
    <x v="0"/>
    <n v="136.29"/>
    <n v="9.9499999999999993"/>
    <n v="58.19"/>
    <x v="1"/>
  </r>
  <r>
    <s v="ORD-11792"/>
    <x v="580"/>
    <s v="Jamal Wang"/>
    <x v="1"/>
    <x v="0"/>
    <x v="0"/>
    <x v="1"/>
    <x v="23"/>
    <n v="2"/>
    <n v="11.64"/>
    <x v="0"/>
    <n v="23.28"/>
    <n v="8.51"/>
    <n v="4.29"/>
    <x v="1"/>
  </r>
  <r>
    <s v="ORD-10160"/>
    <x v="581"/>
    <s v="Ivan Moreau"/>
    <x v="1"/>
    <x v="13"/>
    <x v="0"/>
    <x v="0"/>
    <x v="1"/>
    <n v="4"/>
    <n v="171.86"/>
    <x v="0"/>
    <n v="687.44"/>
    <n v="13.48"/>
    <n v="295.87"/>
    <x v="2"/>
  </r>
  <r>
    <s v="ORD-10178"/>
    <x v="581"/>
    <s v="Sarah Johansson"/>
    <x v="2"/>
    <x v="16"/>
    <x v="3"/>
    <x v="0"/>
    <x v="18"/>
    <n v="1"/>
    <n v="36.61"/>
    <x v="3"/>
    <n v="32.950000000000003"/>
    <n v="10.73"/>
    <n v="2.08"/>
    <x v="2"/>
  </r>
  <r>
    <s v="ORD-10690"/>
    <x v="581"/>
    <s v="Maria Yamamoto"/>
    <x v="1"/>
    <x v="13"/>
    <x v="0"/>
    <x v="3"/>
    <x v="37"/>
    <n v="3"/>
    <n v="25.68"/>
    <x v="0"/>
    <n v="77.040000000000006"/>
    <n v="10.44"/>
    <n v="28.08"/>
    <x v="1"/>
  </r>
  <r>
    <s v="ORD-10812"/>
    <x v="581"/>
    <s v="Linda Harris"/>
    <x v="1"/>
    <x v="11"/>
    <x v="2"/>
    <x v="3"/>
    <x v="37"/>
    <n v="4"/>
    <n v="55.09"/>
    <x v="0"/>
    <n v="220.36"/>
    <n v="17.41"/>
    <n v="92.77"/>
    <x v="0"/>
  </r>
  <r>
    <s v="ORD-11514"/>
    <x v="582"/>
    <s v="Ivan Park"/>
    <x v="1"/>
    <x v="5"/>
    <x v="3"/>
    <x v="1"/>
    <x v="17"/>
    <n v="1"/>
    <n v="14.87"/>
    <x v="3"/>
    <n v="13.38"/>
    <n v="10.11"/>
    <n v="-3.42"/>
    <x v="2"/>
  </r>
  <r>
    <s v="ORD-11709"/>
    <x v="582"/>
    <s v="Elizabeth Leroy"/>
    <x v="0"/>
    <x v="19"/>
    <x v="1"/>
    <x v="2"/>
    <x v="4"/>
    <n v="6"/>
    <n v="282.23"/>
    <x v="4"/>
    <n v="1608.71"/>
    <n v="20.02"/>
    <n v="572.66"/>
    <x v="1"/>
  </r>
  <r>
    <s v="ORD-10624"/>
    <x v="583"/>
    <s v="Jennifer Zhang"/>
    <x v="1"/>
    <x v="10"/>
    <x v="3"/>
    <x v="1"/>
    <x v="10"/>
    <n v="6"/>
    <n v="5.74"/>
    <x v="2"/>
    <n v="29.27"/>
    <n v="16.98"/>
    <n v="-3.21"/>
    <x v="1"/>
  </r>
  <r>
    <s v="ORD-10742"/>
    <x v="583"/>
    <s v="Nadia Santos"/>
    <x v="1"/>
    <x v="16"/>
    <x v="3"/>
    <x v="1"/>
    <x v="20"/>
    <n v="12"/>
    <n v="10.53"/>
    <x v="1"/>
    <n v="101.09"/>
    <n v="32.83"/>
    <n v="11.4"/>
    <x v="3"/>
  </r>
  <r>
    <s v="ORD-11067"/>
    <x v="583"/>
    <s v="Mia Li"/>
    <x v="0"/>
    <x v="2"/>
    <x v="0"/>
    <x v="2"/>
    <x v="8"/>
    <n v="3"/>
    <n v="76.16"/>
    <x v="4"/>
    <n v="217.06"/>
    <n v="8.25"/>
    <n v="71.72"/>
    <x v="3"/>
  </r>
  <r>
    <s v="ORD-10494"/>
    <x v="584"/>
    <s v="Ethan Johnson"/>
    <x v="1"/>
    <x v="15"/>
    <x v="2"/>
    <x v="2"/>
    <x v="21"/>
    <n v="4"/>
    <n v="84.66"/>
    <x v="4"/>
    <n v="321.70999999999998"/>
    <n v="13.55"/>
    <n v="104.98"/>
    <x v="3"/>
  </r>
  <r>
    <s v="ORD-11384"/>
    <x v="584"/>
    <s v="Ahmed Ali"/>
    <x v="1"/>
    <x v="2"/>
    <x v="0"/>
    <x v="3"/>
    <x v="27"/>
    <n v="12"/>
    <n v="44.66"/>
    <x v="4"/>
    <n v="509.12"/>
    <n v="14.12"/>
    <n v="227.04"/>
    <x v="1"/>
  </r>
  <r>
    <s v="ORD-10645"/>
    <x v="585"/>
    <s v="Ahmed Thomas"/>
    <x v="0"/>
    <x v="7"/>
    <x v="4"/>
    <x v="2"/>
    <x v="14"/>
    <n v="2"/>
    <n v="329.54"/>
    <x v="0"/>
    <n v="659.08"/>
    <n v="12.54"/>
    <n v="251.09"/>
    <x v="2"/>
  </r>
  <r>
    <s v="ORD-10666"/>
    <x v="585"/>
    <s v="Ahmed Johnson"/>
    <x v="0"/>
    <x v="3"/>
    <x v="1"/>
    <x v="1"/>
    <x v="2"/>
    <n v="5"/>
    <n v="5.79"/>
    <x v="4"/>
    <n v="27.5"/>
    <n v="18.73"/>
    <n v="-4.26"/>
    <x v="3"/>
  </r>
  <r>
    <s v="ORD-10759"/>
    <x v="585"/>
    <s v="Thomas Thompson"/>
    <x v="1"/>
    <x v="0"/>
    <x v="0"/>
    <x v="1"/>
    <x v="10"/>
    <n v="6"/>
    <n v="6.27"/>
    <x v="4"/>
    <n v="35.74"/>
    <n v="19.36"/>
    <n v="-0.55000000000000004"/>
    <x v="0"/>
  </r>
  <r>
    <s v="ORD-11276"/>
    <x v="585"/>
    <s v="Barbara Johnson"/>
    <x v="0"/>
    <x v="5"/>
    <x v="3"/>
    <x v="1"/>
    <x v="25"/>
    <n v="3"/>
    <n v="8.94"/>
    <x v="2"/>
    <n v="22.8"/>
    <n v="14.91"/>
    <n v="-4.18"/>
    <x v="1"/>
  </r>
  <r>
    <s v="ORD-11950"/>
    <x v="585"/>
    <s v="Isabella White"/>
    <x v="0"/>
    <x v="17"/>
    <x v="3"/>
    <x v="0"/>
    <x v="7"/>
    <n v="5"/>
    <n v="39.270000000000003"/>
    <x v="5"/>
    <n v="137.44"/>
    <n v="19.48"/>
    <n v="9.9700000000000006"/>
    <x v="3"/>
  </r>
  <r>
    <s v="ORD-10994"/>
    <x v="586"/>
    <s v="Jessica Nilsson"/>
    <x v="2"/>
    <x v="18"/>
    <x v="4"/>
    <x v="1"/>
    <x v="23"/>
    <n v="7"/>
    <n v="13.74"/>
    <x v="4"/>
    <n v="91.37"/>
    <n v="21.95"/>
    <n v="26.14"/>
    <x v="0"/>
  </r>
  <r>
    <s v="ORD-11908"/>
    <x v="586"/>
    <s v="Zara Weber"/>
    <x v="1"/>
    <x v="9"/>
    <x v="3"/>
    <x v="1"/>
    <x v="38"/>
    <n v="4"/>
    <n v="12.49"/>
    <x v="4"/>
    <n v="47.46"/>
    <n v="14.76"/>
    <n v="10.220000000000001"/>
    <x v="3"/>
  </r>
  <r>
    <s v="ORD-10741"/>
    <x v="587"/>
    <s v="Ivan Ali"/>
    <x v="2"/>
    <x v="0"/>
    <x v="0"/>
    <x v="3"/>
    <x v="9"/>
    <n v="4"/>
    <n v="38.770000000000003"/>
    <x v="0"/>
    <n v="155.08000000000001"/>
    <n v="12.57"/>
    <n v="64.97"/>
    <x v="1"/>
  </r>
  <r>
    <s v="ORD-11476"/>
    <x v="587"/>
    <s v="Ava Rossi"/>
    <x v="1"/>
    <x v="3"/>
    <x v="1"/>
    <x v="2"/>
    <x v="5"/>
    <n v="1"/>
    <n v="173.33"/>
    <x v="3"/>
    <n v="156"/>
    <n v="8.65"/>
    <n v="43.35"/>
    <x v="0"/>
  </r>
  <r>
    <s v="ORD-10260"/>
    <x v="588"/>
    <s v="Ayumi Taylor"/>
    <x v="2"/>
    <x v="1"/>
    <x v="1"/>
    <x v="2"/>
    <x v="32"/>
    <n v="4"/>
    <n v="66.19"/>
    <x v="4"/>
    <n v="251.52"/>
    <n v="12.09"/>
    <n v="80.569999999999993"/>
    <x v="1"/>
  </r>
  <r>
    <s v="ORD-10967"/>
    <x v="589"/>
    <s v="Ahmed Sharma"/>
    <x v="1"/>
    <x v="5"/>
    <x v="3"/>
    <x v="0"/>
    <x v="22"/>
    <n v="2"/>
    <n v="72.64"/>
    <x v="3"/>
    <n v="130.75"/>
    <n v="12.34"/>
    <n v="38.51"/>
    <x v="2"/>
  </r>
  <r>
    <s v="ORD-11242"/>
    <x v="589"/>
    <s v="Clara MÃ¼ller"/>
    <x v="1"/>
    <x v="2"/>
    <x v="0"/>
    <x v="2"/>
    <x v="36"/>
    <n v="10"/>
    <n v="253.85"/>
    <x v="0"/>
    <n v="2538.5"/>
    <n v="22.56"/>
    <n v="992.84"/>
    <x v="0"/>
  </r>
  <r>
    <s v="ORD-10029"/>
    <x v="590"/>
    <s v="Clara Ali"/>
    <x v="1"/>
    <x v="13"/>
    <x v="0"/>
    <x v="1"/>
    <x v="2"/>
    <n v="6"/>
    <n v="12.47"/>
    <x v="4"/>
    <n v="71.08"/>
    <n v="8.33"/>
    <n v="29.08"/>
    <x v="0"/>
  </r>
  <r>
    <s v="ORD-10815"/>
    <x v="591"/>
    <s v="Sarah Davis"/>
    <x v="1"/>
    <x v="15"/>
    <x v="2"/>
    <x v="0"/>
    <x v="18"/>
    <n v="1"/>
    <n v="70.900000000000006"/>
    <x v="0"/>
    <n v="70.900000000000006"/>
    <n v="11.52"/>
    <n v="20.39"/>
    <x v="2"/>
  </r>
  <r>
    <s v="ORD-11948"/>
    <x v="591"/>
    <s v="Ingrid Santos"/>
    <x v="1"/>
    <x v="19"/>
    <x v="1"/>
    <x v="1"/>
    <x v="25"/>
    <n v="1"/>
    <n v="6.45"/>
    <x v="4"/>
    <n v="6.13"/>
    <n v="7.56"/>
    <n v="-4.33"/>
    <x v="0"/>
  </r>
  <r>
    <s v="ORD-10588"/>
    <x v="592"/>
    <s v="Patricia Costa"/>
    <x v="2"/>
    <x v="8"/>
    <x v="1"/>
    <x v="3"/>
    <x v="37"/>
    <n v="2"/>
    <n v="69.3"/>
    <x v="0"/>
    <n v="138.6"/>
    <n v="11.07"/>
    <n v="58.23"/>
    <x v="2"/>
  </r>
  <r>
    <s v="ORD-10761"/>
    <x v="592"/>
    <s v="Liam Russo"/>
    <x v="1"/>
    <x v="14"/>
    <x v="1"/>
    <x v="2"/>
    <x v="4"/>
    <n v="7"/>
    <n v="212.35"/>
    <x v="1"/>
    <n v="1189.1600000000001"/>
    <n v="14.04"/>
    <n v="283.25"/>
    <x v="2"/>
  </r>
  <r>
    <s v="ORD-11477"/>
    <x v="592"/>
    <s v="Karen Romano"/>
    <x v="1"/>
    <x v="13"/>
    <x v="0"/>
    <x v="2"/>
    <x v="8"/>
    <n v="2"/>
    <n v="76.2"/>
    <x v="4"/>
    <n v="144.78"/>
    <n v="8.8800000000000008"/>
    <n v="44.46"/>
    <x v="1"/>
  </r>
  <r>
    <s v="ORD-11880"/>
    <x v="593"/>
    <s v="Richard Park"/>
    <x v="1"/>
    <x v="4"/>
    <x v="2"/>
    <x v="0"/>
    <x v="18"/>
    <n v="1"/>
    <n v="44.65"/>
    <x v="4"/>
    <n v="42.42"/>
    <n v="13.09"/>
    <n v="4.7699999999999996"/>
    <x v="1"/>
  </r>
  <r>
    <s v="ORD-11764"/>
    <x v="594"/>
    <s v="Mary Clark"/>
    <x v="1"/>
    <x v="0"/>
    <x v="0"/>
    <x v="1"/>
    <x v="2"/>
    <n v="3"/>
    <n v="13.27"/>
    <x v="6"/>
    <n v="29.86"/>
    <n v="12.34"/>
    <n v="-0.39"/>
    <x v="1"/>
  </r>
  <r>
    <s v="ORD-11426"/>
    <x v="595"/>
    <s v="Jamal Chen"/>
    <x v="0"/>
    <x v="6"/>
    <x v="2"/>
    <x v="0"/>
    <x v="1"/>
    <n v="1"/>
    <n v="105.02"/>
    <x v="3"/>
    <n v="94.52"/>
    <n v="11.57"/>
    <n v="25.19"/>
    <x v="1"/>
  </r>
  <r>
    <s v="ORD-11195"/>
    <x v="596"/>
    <s v="Nadia Robinson"/>
    <x v="2"/>
    <x v="5"/>
    <x v="3"/>
    <x v="3"/>
    <x v="16"/>
    <n v="7"/>
    <n v="49.09"/>
    <x v="0"/>
    <n v="343.63"/>
    <n v="18.149999999999999"/>
    <n v="153.66"/>
    <x v="1"/>
  </r>
  <r>
    <s v="ORD-11309"/>
    <x v="596"/>
    <s v="Giulia Johansson"/>
    <x v="1"/>
    <x v="9"/>
    <x v="3"/>
    <x v="2"/>
    <x v="14"/>
    <n v="4"/>
    <n v="416.86"/>
    <x v="0"/>
    <n v="1667.44"/>
    <n v="13.27"/>
    <n v="653.71"/>
    <x v="0"/>
  </r>
  <r>
    <s v="ORD-10654"/>
    <x v="597"/>
    <s v="Pierre Ahmed"/>
    <x v="0"/>
    <x v="8"/>
    <x v="1"/>
    <x v="3"/>
    <x v="27"/>
    <n v="7"/>
    <n v="20.149999999999999"/>
    <x v="3"/>
    <n v="126.94"/>
    <n v="22.2"/>
    <n v="34.22"/>
    <x v="0"/>
  </r>
  <r>
    <s v="ORD-11517"/>
    <x v="597"/>
    <s v="Zara Davis"/>
    <x v="2"/>
    <x v="11"/>
    <x v="2"/>
    <x v="1"/>
    <x v="23"/>
    <n v="2"/>
    <n v="12.97"/>
    <x v="2"/>
    <n v="22.05"/>
    <n v="14.41"/>
    <n v="-4.03"/>
    <x v="1"/>
  </r>
  <r>
    <s v="ORD-10241"/>
    <x v="598"/>
    <s v="Liam Taylor"/>
    <x v="0"/>
    <x v="16"/>
    <x v="3"/>
    <x v="0"/>
    <x v="29"/>
    <n v="2"/>
    <n v="47.58"/>
    <x v="2"/>
    <n v="80.89"/>
    <n v="11.18"/>
    <n v="17.37"/>
    <x v="1"/>
  </r>
  <r>
    <s v="ORD-10808"/>
    <x v="598"/>
    <s v="Yuki Costa"/>
    <x v="1"/>
    <x v="15"/>
    <x v="2"/>
    <x v="1"/>
    <x v="12"/>
    <n v="5"/>
    <n v="22.51"/>
    <x v="4"/>
    <n v="106.92"/>
    <n v="19.75"/>
    <n v="36.520000000000003"/>
    <x v="0"/>
  </r>
  <r>
    <s v="ORD-10899"/>
    <x v="599"/>
    <s v="Ayumi Khan"/>
    <x v="1"/>
    <x v="0"/>
    <x v="0"/>
    <x v="2"/>
    <x v="36"/>
    <n v="1"/>
    <n v="142.21"/>
    <x v="0"/>
    <n v="142.21"/>
    <n v="6.95"/>
    <n v="49.93"/>
    <x v="2"/>
  </r>
  <r>
    <s v="ORD-11129"/>
    <x v="599"/>
    <s v="Jamal Taylor"/>
    <x v="1"/>
    <x v="13"/>
    <x v="0"/>
    <x v="0"/>
    <x v="28"/>
    <n v="2"/>
    <n v="60.18"/>
    <x v="0"/>
    <n v="120.36"/>
    <n v="8.33"/>
    <n v="45.83"/>
    <x v="0"/>
  </r>
  <r>
    <s v="ORD-10026"/>
    <x v="600"/>
    <s v="Layla Ahmed"/>
    <x v="2"/>
    <x v="9"/>
    <x v="3"/>
    <x v="0"/>
    <x v="7"/>
    <n v="3"/>
    <n v="44.45"/>
    <x v="2"/>
    <n v="113.35"/>
    <n v="16.34"/>
    <n v="23.67"/>
    <x v="3"/>
  </r>
  <r>
    <s v="ORD-11083"/>
    <x v="600"/>
    <s v="Ivan Jones"/>
    <x v="1"/>
    <x v="2"/>
    <x v="0"/>
    <x v="2"/>
    <x v="39"/>
    <n v="7"/>
    <n v="234.12"/>
    <x v="0"/>
    <n v="1638.84"/>
    <n v="10.77"/>
    <n v="644.77"/>
    <x v="2"/>
  </r>
  <r>
    <s v="ORD-10948"/>
    <x v="601"/>
    <s v="Jessica Anderson"/>
    <x v="0"/>
    <x v="13"/>
    <x v="0"/>
    <x v="2"/>
    <x v="39"/>
    <n v="1"/>
    <n v="115.76"/>
    <x v="3"/>
    <n v="104.18"/>
    <n v="6.46"/>
    <n v="28.26"/>
    <x v="2"/>
  </r>
  <r>
    <s v="ORD-11036"/>
    <x v="601"/>
    <s v="David Rossi"/>
    <x v="1"/>
    <x v="4"/>
    <x v="2"/>
    <x v="2"/>
    <x v="14"/>
    <n v="3"/>
    <n v="219.08"/>
    <x v="4"/>
    <n v="624.38"/>
    <n v="16.97"/>
    <n v="213.07"/>
    <x v="1"/>
  </r>
  <r>
    <s v="ORD-11331"/>
    <x v="601"/>
    <s v="Thomas Thomas"/>
    <x v="2"/>
    <x v="2"/>
    <x v="0"/>
    <x v="1"/>
    <x v="6"/>
    <n v="2"/>
    <n v="23.83"/>
    <x v="0"/>
    <n v="47.66"/>
    <n v="8.8699999999999992"/>
    <n v="17.34"/>
    <x v="3"/>
  </r>
  <r>
    <s v="ORD-10975"/>
    <x v="602"/>
    <s v="Oscar Nilsson"/>
    <x v="1"/>
    <x v="19"/>
    <x v="1"/>
    <x v="2"/>
    <x v="39"/>
    <n v="5"/>
    <n v="127.03"/>
    <x v="4"/>
    <n v="603.39"/>
    <n v="16.489999999999998"/>
    <n v="205.81"/>
    <x v="2"/>
  </r>
  <r>
    <s v="ORD-10074"/>
    <x v="603"/>
    <s v="Nadia Oliveira"/>
    <x v="1"/>
    <x v="2"/>
    <x v="0"/>
    <x v="3"/>
    <x v="24"/>
    <n v="6"/>
    <n v="26.43"/>
    <x v="4"/>
    <n v="150.65"/>
    <n v="8.1"/>
    <n v="63.26"/>
    <x v="0"/>
  </r>
  <r>
    <s v="ORD-11866"/>
    <x v="603"/>
    <s v="Oscar Schmidt"/>
    <x v="0"/>
    <x v="9"/>
    <x v="3"/>
    <x v="1"/>
    <x v="2"/>
    <n v="1"/>
    <n v="9.2100000000000009"/>
    <x v="1"/>
    <n v="7.37"/>
    <n v="11.17"/>
    <n v="-7.94"/>
    <x v="1"/>
  </r>
  <r>
    <s v="ORD-10807"/>
    <x v="604"/>
    <s v="Richard Jackson"/>
    <x v="1"/>
    <x v="0"/>
    <x v="0"/>
    <x v="1"/>
    <x v="25"/>
    <n v="4"/>
    <n v="9.43"/>
    <x v="1"/>
    <n v="30.18"/>
    <n v="12.83"/>
    <n v="0.38"/>
    <x v="2"/>
  </r>
  <r>
    <s v="ORD-11852"/>
    <x v="604"/>
    <s v="James Johansson"/>
    <x v="2"/>
    <x v="2"/>
    <x v="0"/>
    <x v="1"/>
    <x v="6"/>
    <n v="3"/>
    <n v="18.18"/>
    <x v="0"/>
    <n v="54.54"/>
    <n v="7.27"/>
    <n v="22.73"/>
    <x v="2"/>
  </r>
  <r>
    <s v="ORD-10259"/>
    <x v="605"/>
    <s v="Sakura Costa"/>
    <x v="1"/>
    <x v="0"/>
    <x v="0"/>
    <x v="0"/>
    <x v="35"/>
    <n v="4"/>
    <n v="45.26"/>
    <x v="0"/>
    <n v="181.04"/>
    <n v="7.24"/>
    <n v="74.23"/>
    <x v="1"/>
  </r>
  <r>
    <s v="ORD-10973"/>
    <x v="605"/>
    <s v="Richard Rossi"/>
    <x v="1"/>
    <x v="18"/>
    <x v="4"/>
    <x v="1"/>
    <x v="23"/>
    <n v="2"/>
    <n v="12.48"/>
    <x v="3"/>
    <n v="22.46"/>
    <n v="12.39"/>
    <n v="-1.1599999999999999"/>
    <x v="3"/>
  </r>
  <r>
    <s v="ORD-10497"/>
    <x v="606"/>
    <s v="Liam Davis"/>
    <x v="1"/>
    <x v="3"/>
    <x v="1"/>
    <x v="1"/>
    <x v="6"/>
    <n v="3"/>
    <n v="9.4"/>
    <x v="4"/>
    <n v="26.79"/>
    <n v="11.24"/>
    <n v="2.86"/>
    <x v="3"/>
  </r>
  <r>
    <s v="ORD-11804"/>
    <x v="606"/>
    <s v="Jamal Kim"/>
    <x v="1"/>
    <x v="13"/>
    <x v="0"/>
    <x v="1"/>
    <x v="25"/>
    <n v="3"/>
    <n v="9.86"/>
    <x v="3"/>
    <n v="26.62"/>
    <n v="7.69"/>
    <n v="5.62"/>
    <x v="1"/>
  </r>
  <r>
    <s v="ORD-11381"/>
    <x v="607"/>
    <s v="Sophie Ahmed"/>
    <x v="0"/>
    <x v="8"/>
    <x v="1"/>
    <x v="0"/>
    <x v="18"/>
    <n v="3"/>
    <n v="73.19"/>
    <x v="3"/>
    <n v="197.61"/>
    <n v="12.36"/>
    <n v="64.489999999999995"/>
    <x v="1"/>
  </r>
  <r>
    <s v="ORD-10668"/>
    <x v="608"/>
    <s v="Christopher Jackson"/>
    <x v="1"/>
    <x v="9"/>
    <x v="3"/>
    <x v="1"/>
    <x v="20"/>
    <n v="12"/>
    <n v="11.27"/>
    <x v="3"/>
    <n v="121.72"/>
    <n v="19.04"/>
    <n v="41.82"/>
    <x v="1"/>
  </r>
  <r>
    <s v="ORD-10970"/>
    <x v="609"/>
    <s v="Diego Kim"/>
    <x v="1"/>
    <x v="8"/>
    <x v="1"/>
    <x v="3"/>
    <x v="9"/>
    <n v="10"/>
    <n v="56.84"/>
    <x v="4"/>
    <n v="539.98"/>
    <n v="24.76"/>
    <n v="231.02"/>
    <x v="0"/>
  </r>
  <r>
    <s v="ORD-11364"/>
    <x v="609"/>
    <s v="Barbara Khan"/>
    <x v="1"/>
    <x v="0"/>
    <x v="0"/>
    <x v="3"/>
    <x v="9"/>
    <n v="3"/>
    <n v="17.66"/>
    <x v="0"/>
    <n v="52.98"/>
    <n v="6.7"/>
    <n v="19.79"/>
    <x v="1"/>
  </r>
  <r>
    <s v="ORD-10699"/>
    <x v="610"/>
    <s v="Priya Ferrari"/>
    <x v="1"/>
    <x v="13"/>
    <x v="0"/>
    <x v="0"/>
    <x v="0"/>
    <n v="5"/>
    <n v="185.01"/>
    <x v="0"/>
    <n v="925.05"/>
    <n v="11.11"/>
    <n v="405.16"/>
    <x v="3"/>
  </r>
  <r>
    <s v="ORD-11901"/>
    <x v="611"/>
    <s v="Emma MÃ¼ller"/>
    <x v="0"/>
    <x v="14"/>
    <x v="1"/>
    <x v="3"/>
    <x v="11"/>
    <n v="5"/>
    <n v="82.49"/>
    <x v="3"/>
    <n v="371.2"/>
    <n v="12.32"/>
    <n v="152.66"/>
    <x v="1"/>
  </r>
  <r>
    <s v="ORD-11236"/>
    <x v="612"/>
    <s v="Clara Laurent"/>
    <x v="0"/>
    <x v="0"/>
    <x v="0"/>
    <x v="2"/>
    <x v="5"/>
    <n v="6"/>
    <n v="71.81"/>
    <x v="4"/>
    <n v="409.32"/>
    <n v="15.55"/>
    <n v="135.25"/>
    <x v="1"/>
  </r>
  <r>
    <s v="ORD-10215"/>
    <x v="613"/>
    <s v="Liam Rodriguez"/>
    <x v="1"/>
    <x v="4"/>
    <x v="2"/>
    <x v="0"/>
    <x v="35"/>
    <n v="5"/>
    <n v="67.72"/>
    <x v="0"/>
    <n v="338.6"/>
    <n v="14.18"/>
    <n v="138.19"/>
    <x v="1"/>
  </r>
  <r>
    <s v="ORD-10702"/>
    <x v="614"/>
    <s v="Marco Kim"/>
    <x v="2"/>
    <x v="12"/>
    <x v="4"/>
    <x v="1"/>
    <x v="2"/>
    <n v="2"/>
    <n v="5.74"/>
    <x v="1"/>
    <n v="9.18"/>
    <n v="13.02"/>
    <n v="-9.01"/>
    <x v="1"/>
  </r>
  <r>
    <s v="ORD-11730"/>
    <x v="614"/>
    <s v="Robert Rodriguez"/>
    <x v="1"/>
    <x v="9"/>
    <x v="3"/>
    <x v="0"/>
    <x v="3"/>
    <n v="4"/>
    <n v="87.29"/>
    <x v="0"/>
    <n v="349.16"/>
    <n v="12.84"/>
    <n v="144.28"/>
    <x v="3"/>
  </r>
  <r>
    <s v="ORD-11359"/>
    <x v="615"/>
    <s v="Michael Nilsson"/>
    <x v="0"/>
    <x v="12"/>
    <x v="4"/>
    <x v="0"/>
    <x v="31"/>
    <n v="2"/>
    <n v="95.46"/>
    <x v="3"/>
    <n v="171.83"/>
    <n v="14.34"/>
    <n v="52.48"/>
    <x v="1"/>
  </r>
  <r>
    <s v="ORD-11600"/>
    <x v="615"/>
    <s v="Ali Leroy"/>
    <x v="1"/>
    <x v="16"/>
    <x v="3"/>
    <x v="2"/>
    <x v="21"/>
    <n v="1"/>
    <n v="32.200000000000003"/>
    <x v="0"/>
    <n v="32.200000000000003"/>
    <n v="11.24"/>
    <n v="1.64"/>
    <x v="1"/>
  </r>
  <r>
    <s v="ORD-11282"/>
    <x v="616"/>
    <s v="Amir Rodriguez"/>
    <x v="1"/>
    <x v="6"/>
    <x v="2"/>
    <x v="2"/>
    <x v="36"/>
    <n v="1"/>
    <n v="266.33"/>
    <x v="3"/>
    <n v="239.7"/>
    <n v="12.81"/>
    <n v="67.09"/>
    <x v="3"/>
  </r>
  <r>
    <s v="ORD-11421"/>
    <x v="617"/>
    <s v="Karen Santos"/>
    <x v="1"/>
    <x v="8"/>
    <x v="1"/>
    <x v="2"/>
    <x v="15"/>
    <n v="8"/>
    <n v="162.72999999999999"/>
    <x v="4"/>
    <n v="1236.75"/>
    <n v="21.92"/>
    <n v="433.73"/>
    <x v="3"/>
  </r>
  <r>
    <s v="ORD-10655"/>
    <x v="618"/>
    <s v="Patricia Ferrari"/>
    <x v="1"/>
    <x v="14"/>
    <x v="1"/>
    <x v="1"/>
    <x v="38"/>
    <n v="4"/>
    <n v="9.15"/>
    <x v="0"/>
    <n v="36.6"/>
    <n v="14.1"/>
    <n v="6.03"/>
    <x v="0"/>
  </r>
  <r>
    <s v="ORD-11194"/>
    <x v="618"/>
    <s v="Robert Harris"/>
    <x v="2"/>
    <x v="5"/>
    <x v="3"/>
    <x v="3"/>
    <x v="37"/>
    <n v="2"/>
    <n v="31.26"/>
    <x v="2"/>
    <n v="53.14"/>
    <n v="10.33"/>
    <n v="11.55"/>
    <x v="0"/>
  </r>
  <r>
    <s v="ORD-11403"/>
    <x v="618"/>
    <s v="Hanna Weber"/>
    <x v="1"/>
    <x v="13"/>
    <x v="0"/>
    <x v="2"/>
    <x v="36"/>
    <n v="5"/>
    <n v="186.71"/>
    <x v="2"/>
    <n v="793.52"/>
    <n v="11.33"/>
    <n v="222.06"/>
    <x v="3"/>
  </r>
  <r>
    <s v="ORD-11606"/>
    <x v="618"/>
    <s v="Mary Khan"/>
    <x v="2"/>
    <x v="0"/>
    <x v="0"/>
    <x v="2"/>
    <x v="34"/>
    <n v="4"/>
    <n v="49.36"/>
    <x v="1"/>
    <n v="157.94999999999999"/>
    <n v="12.59"/>
    <n v="26.9"/>
    <x v="2"/>
  </r>
  <r>
    <s v="ORD-10601"/>
    <x v="619"/>
    <s v="Christopher Martinez"/>
    <x v="1"/>
    <x v="17"/>
    <x v="3"/>
    <x v="2"/>
    <x v="5"/>
    <n v="3"/>
    <n v="68.02"/>
    <x v="2"/>
    <n v="173.45"/>
    <n v="15.65"/>
    <n v="35.36"/>
    <x v="2"/>
  </r>
  <r>
    <s v="ORD-10022"/>
    <x v="620"/>
    <s v="Giulia Rodriguez"/>
    <x v="2"/>
    <x v="6"/>
    <x v="2"/>
    <x v="2"/>
    <x v="21"/>
    <n v="4"/>
    <n v="79.25"/>
    <x v="1"/>
    <n v="253.6"/>
    <n v="18.23"/>
    <n v="45.17"/>
    <x v="1"/>
  </r>
  <r>
    <s v="ORD-10249"/>
    <x v="620"/>
    <s v="Barbara Sharma"/>
    <x v="0"/>
    <x v="13"/>
    <x v="0"/>
    <x v="0"/>
    <x v="35"/>
    <n v="1"/>
    <n v="43.25"/>
    <x v="4"/>
    <n v="41.09"/>
    <n v="5.62"/>
    <n v="11.68"/>
    <x v="3"/>
  </r>
  <r>
    <s v="ORD-11042"/>
    <x v="620"/>
    <s v="Thomas Laurent"/>
    <x v="1"/>
    <x v="5"/>
    <x v="3"/>
    <x v="2"/>
    <x v="15"/>
    <n v="2"/>
    <n v="306.48"/>
    <x v="0"/>
    <n v="612.96"/>
    <n v="11.3"/>
    <n v="233.88"/>
    <x v="1"/>
  </r>
  <r>
    <s v="ORD-11893"/>
    <x v="620"/>
    <s v="Michael Davis"/>
    <x v="2"/>
    <x v="2"/>
    <x v="0"/>
    <x v="0"/>
    <x v="29"/>
    <n v="2"/>
    <n v="52.22"/>
    <x v="2"/>
    <n v="88.77"/>
    <n v="9.8800000000000008"/>
    <n v="21.45"/>
    <x v="0"/>
  </r>
  <r>
    <s v="ORD-11930"/>
    <x v="620"/>
    <s v="Isabella Tanaka"/>
    <x v="1"/>
    <x v="14"/>
    <x v="1"/>
    <x v="2"/>
    <x v="34"/>
    <n v="1"/>
    <n v="16.32"/>
    <x v="3"/>
    <n v="14.69"/>
    <n v="9.3699999999999992"/>
    <n v="-4.47"/>
    <x v="1"/>
  </r>
  <r>
    <s v="ORD-11957"/>
    <x v="620"/>
    <s v="Barbara Singh"/>
    <x v="1"/>
    <x v="0"/>
    <x v="0"/>
    <x v="0"/>
    <x v="22"/>
    <n v="6"/>
    <n v="92.96"/>
    <x v="0"/>
    <n v="557.76"/>
    <n v="10.11"/>
    <n v="240.88"/>
    <x v="3"/>
  </r>
  <r>
    <s v="ORD-11351"/>
    <x v="621"/>
    <s v="Raj Garcia"/>
    <x v="1"/>
    <x v="12"/>
    <x v="4"/>
    <x v="0"/>
    <x v="7"/>
    <n v="7"/>
    <n v="63.72"/>
    <x v="1"/>
    <n v="356.83"/>
    <n v="27.31"/>
    <n v="84.2"/>
    <x v="1"/>
  </r>
  <r>
    <s v="ORD-11115"/>
    <x v="622"/>
    <s v="Kenji Martin"/>
    <x v="1"/>
    <x v="3"/>
    <x v="1"/>
    <x v="2"/>
    <x v="36"/>
    <n v="1"/>
    <n v="291.52"/>
    <x v="0"/>
    <n v="291.52"/>
    <n v="8.7799999999999994"/>
    <n v="107.83"/>
    <x v="1"/>
  </r>
  <r>
    <s v="ORD-11122"/>
    <x v="623"/>
    <s v="Isabella Davis"/>
    <x v="1"/>
    <x v="19"/>
    <x v="1"/>
    <x v="3"/>
    <x v="24"/>
    <n v="3"/>
    <n v="62.51"/>
    <x v="1"/>
    <n v="150.02000000000001"/>
    <n v="12.95"/>
    <n v="43.31"/>
    <x v="2"/>
  </r>
  <r>
    <s v="ORD-11138"/>
    <x v="624"/>
    <s v="Mary Patel"/>
    <x v="1"/>
    <x v="1"/>
    <x v="1"/>
    <x v="0"/>
    <x v="31"/>
    <n v="1"/>
    <n v="72.27"/>
    <x v="3"/>
    <n v="65.040000000000006"/>
    <n v="9.2200000000000006"/>
    <n v="16.07"/>
    <x v="3"/>
  </r>
  <r>
    <s v="ORD-10308"/>
    <x v="625"/>
    <s v="Christopher Clark"/>
    <x v="0"/>
    <x v="7"/>
    <x v="4"/>
    <x v="0"/>
    <x v="31"/>
    <n v="1"/>
    <n v="62.62"/>
    <x v="3"/>
    <n v="56.36"/>
    <n v="11.29"/>
    <n v="10.63"/>
    <x v="2"/>
  </r>
  <r>
    <s v="ORD-10644"/>
    <x v="625"/>
    <s v="Mia Weber"/>
    <x v="1"/>
    <x v="3"/>
    <x v="1"/>
    <x v="2"/>
    <x v="8"/>
    <n v="7"/>
    <n v="46.41"/>
    <x v="6"/>
    <n v="243.65"/>
    <n v="12.24"/>
    <n v="36.49"/>
    <x v="0"/>
  </r>
  <r>
    <s v="ORD-10805"/>
    <x v="626"/>
    <s v="Marco Davis"/>
    <x v="1"/>
    <x v="10"/>
    <x v="3"/>
    <x v="3"/>
    <x v="33"/>
    <n v="4"/>
    <n v="27.85"/>
    <x v="4"/>
    <n v="105.83"/>
    <n v="18.91"/>
    <n v="31.22"/>
    <x v="2"/>
  </r>
  <r>
    <s v="ORD-10993"/>
    <x v="626"/>
    <s v="Maria Moreau"/>
    <x v="1"/>
    <x v="14"/>
    <x v="1"/>
    <x v="3"/>
    <x v="33"/>
    <n v="6"/>
    <n v="35.29"/>
    <x v="4"/>
    <n v="201.15"/>
    <n v="17.46"/>
    <n v="77.819999999999993"/>
    <x v="0"/>
  </r>
  <r>
    <s v="ORD-11056"/>
    <x v="626"/>
    <s v="James Patel"/>
    <x v="0"/>
    <x v="2"/>
    <x v="0"/>
    <x v="0"/>
    <x v="1"/>
    <n v="2"/>
    <n v="148.04"/>
    <x v="4"/>
    <n v="281.27999999999997"/>
    <n v="9.59"/>
    <n v="108.85"/>
    <x v="1"/>
  </r>
  <r>
    <s v="ORD-11509"/>
    <x v="626"/>
    <s v="Priya Singh"/>
    <x v="1"/>
    <x v="3"/>
    <x v="1"/>
    <x v="3"/>
    <x v="37"/>
    <n v="5"/>
    <n v="26.79"/>
    <x v="0"/>
    <n v="133.94999999999999"/>
    <n v="18.600000000000001"/>
    <n v="48.37"/>
    <x v="2"/>
  </r>
  <r>
    <s v="ORD-11689"/>
    <x v="627"/>
    <s v="Ayumi Smith"/>
    <x v="1"/>
    <x v="5"/>
    <x v="3"/>
    <x v="3"/>
    <x v="24"/>
    <n v="2"/>
    <n v="27.73"/>
    <x v="3"/>
    <n v="49.91"/>
    <n v="11.7"/>
    <n v="10.48"/>
    <x v="2"/>
  </r>
  <r>
    <s v="ORD-11732"/>
    <x v="627"/>
    <s v="Emma Clark"/>
    <x v="1"/>
    <x v="2"/>
    <x v="0"/>
    <x v="1"/>
    <x v="17"/>
    <n v="4"/>
    <n v="9.42"/>
    <x v="4"/>
    <n v="35.799999999999997"/>
    <n v="14.51"/>
    <n v="4.33"/>
    <x v="0"/>
  </r>
  <r>
    <s v="ORD-10604"/>
    <x v="628"/>
    <s v="Li Harris"/>
    <x v="1"/>
    <x v="17"/>
    <x v="3"/>
    <x v="0"/>
    <x v="0"/>
    <n v="1"/>
    <n v="119.38"/>
    <x v="0"/>
    <n v="119.38"/>
    <n v="9.73"/>
    <n v="43.99"/>
    <x v="1"/>
  </r>
  <r>
    <s v="ORD-11436"/>
    <x v="628"/>
    <s v="Noah Suzuki"/>
    <x v="1"/>
    <x v="9"/>
    <x v="3"/>
    <x v="0"/>
    <x v="3"/>
    <n v="3"/>
    <n v="57.05"/>
    <x v="2"/>
    <n v="145.47999999999999"/>
    <n v="10.86"/>
    <n v="40.49"/>
    <x v="3"/>
  </r>
  <r>
    <s v="ORD-10802"/>
    <x v="629"/>
    <s v="Omar Yamamoto"/>
    <x v="1"/>
    <x v="4"/>
    <x v="2"/>
    <x v="1"/>
    <x v="20"/>
    <n v="8"/>
    <n v="14.06"/>
    <x v="2"/>
    <n v="95.61"/>
    <n v="23.41"/>
    <n v="21.58"/>
    <x v="1"/>
  </r>
  <r>
    <s v="ORD-11496"/>
    <x v="629"/>
    <s v="Robert Wang"/>
    <x v="2"/>
    <x v="13"/>
    <x v="0"/>
    <x v="3"/>
    <x v="37"/>
    <n v="5"/>
    <n v="51.1"/>
    <x v="3"/>
    <n v="229.95"/>
    <n v="11.04"/>
    <n v="91.16"/>
    <x v="3"/>
  </r>
  <r>
    <s v="ORD-10611"/>
    <x v="630"/>
    <s v="Ayumi Pereira"/>
    <x v="1"/>
    <x v="13"/>
    <x v="0"/>
    <x v="3"/>
    <x v="16"/>
    <n v="1"/>
    <n v="26.45"/>
    <x v="2"/>
    <n v="22.48"/>
    <n v="6.09"/>
    <n v="3.17"/>
    <x v="2"/>
  </r>
  <r>
    <s v="ORD-11694"/>
    <x v="630"/>
    <s v="Chen Rossi"/>
    <x v="0"/>
    <x v="13"/>
    <x v="0"/>
    <x v="1"/>
    <x v="23"/>
    <n v="1"/>
    <n v="15.54"/>
    <x v="6"/>
    <n v="11.65"/>
    <n v="6.71"/>
    <n v="-2.0499999999999998"/>
    <x v="0"/>
  </r>
  <r>
    <s v="ORD-10506"/>
    <x v="631"/>
    <s v="Ahmed Dubois"/>
    <x v="1"/>
    <x v="2"/>
    <x v="0"/>
    <x v="2"/>
    <x v="32"/>
    <n v="1"/>
    <n v="42.63"/>
    <x v="0"/>
    <n v="42.63"/>
    <n v="7.17"/>
    <n v="9.8800000000000008"/>
    <x v="1"/>
  </r>
  <r>
    <s v="ORD-10509"/>
    <x v="631"/>
    <s v="Robert Chen"/>
    <x v="1"/>
    <x v="13"/>
    <x v="0"/>
    <x v="2"/>
    <x v="4"/>
    <n v="1"/>
    <n v="302.08"/>
    <x v="3"/>
    <n v="271.87"/>
    <n v="6.17"/>
    <n v="84.45"/>
    <x v="2"/>
  </r>
  <r>
    <s v="ORD-11744"/>
    <x v="632"/>
    <s v="Kenji Smith"/>
    <x v="1"/>
    <x v="14"/>
    <x v="1"/>
    <x v="2"/>
    <x v="34"/>
    <n v="3"/>
    <n v="22.63"/>
    <x v="4"/>
    <n v="64.5"/>
    <n v="12.28"/>
    <n v="11.49"/>
    <x v="1"/>
  </r>
  <r>
    <s v="ORD-11876"/>
    <x v="632"/>
    <s v="Jessica Moreau"/>
    <x v="1"/>
    <x v="0"/>
    <x v="0"/>
    <x v="2"/>
    <x v="32"/>
    <n v="2"/>
    <n v="60.59"/>
    <x v="0"/>
    <n v="121.18"/>
    <n v="7.99"/>
    <n v="40.479999999999997"/>
    <x v="1"/>
  </r>
  <r>
    <s v="ORD-10814"/>
    <x v="633"/>
    <s v="Patricia Park"/>
    <x v="0"/>
    <x v="2"/>
    <x v="0"/>
    <x v="1"/>
    <x v="12"/>
    <n v="2"/>
    <n v="16.2"/>
    <x v="3"/>
    <n v="29.16"/>
    <n v="6.5"/>
    <n v="8.08"/>
    <x v="3"/>
  </r>
  <r>
    <s v="ORD-11350"/>
    <x v="633"/>
    <s v="James Ahmed"/>
    <x v="2"/>
    <x v="13"/>
    <x v="0"/>
    <x v="0"/>
    <x v="0"/>
    <n v="1"/>
    <n v="230.1"/>
    <x v="4"/>
    <n v="218.59"/>
    <n v="7.29"/>
    <n v="84.74"/>
    <x v="1"/>
  </r>
  <r>
    <s v="ORD-11408"/>
    <x v="634"/>
    <s v="Oscar Martinez"/>
    <x v="0"/>
    <x v="9"/>
    <x v="3"/>
    <x v="0"/>
    <x v="3"/>
    <n v="7"/>
    <n v="78.3"/>
    <x v="2"/>
    <n v="465.88"/>
    <n v="25.97"/>
    <n v="138.44999999999999"/>
    <x v="1"/>
  </r>
  <r>
    <s v="ORD-11839"/>
    <x v="635"/>
    <s v="Li Suzuki"/>
    <x v="1"/>
    <x v="3"/>
    <x v="1"/>
    <x v="2"/>
    <x v="8"/>
    <n v="3"/>
    <n v="46.46"/>
    <x v="1"/>
    <n v="111.5"/>
    <n v="8.73"/>
    <n v="19.14"/>
    <x v="2"/>
  </r>
  <r>
    <s v="ORD-10079"/>
    <x v="636"/>
    <s v="Jessica Schmidt"/>
    <x v="1"/>
    <x v="17"/>
    <x v="3"/>
    <x v="3"/>
    <x v="27"/>
    <n v="3"/>
    <n v="53.74"/>
    <x v="3"/>
    <n v="145.1"/>
    <n v="16.16"/>
    <n v="48.33"/>
    <x v="1"/>
  </r>
  <r>
    <s v="ORD-11001"/>
    <x v="637"/>
    <s v="Isabella Jackson"/>
    <x v="0"/>
    <x v="9"/>
    <x v="3"/>
    <x v="1"/>
    <x v="10"/>
    <n v="1"/>
    <n v="3.03"/>
    <x v="1"/>
    <n v="2.42"/>
    <n v="11.16"/>
    <n v="-10.1"/>
    <x v="0"/>
  </r>
  <r>
    <s v="ORD-11801"/>
    <x v="637"/>
    <s v="Thomas Tanaka"/>
    <x v="1"/>
    <x v="17"/>
    <x v="3"/>
    <x v="1"/>
    <x v="17"/>
    <n v="1"/>
    <n v="15.32"/>
    <x v="0"/>
    <n v="15.32"/>
    <n v="10.87"/>
    <n v="-2.44"/>
    <x v="1"/>
  </r>
  <r>
    <s v="ORD-11897"/>
    <x v="637"/>
    <s v="Mary Miller"/>
    <x v="2"/>
    <x v="19"/>
    <x v="1"/>
    <x v="0"/>
    <x v="35"/>
    <n v="1"/>
    <n v="47.45"/>
    <x v="1"/>
    <n v="37.96"/>
    <n v="8.7200000000000006"/>
    <n v="3.14"/>
    <x v="1"/>
  </r>
  <r>
    <s v="ORD-11919"/>
    <x v="637"/>
    <s v="Sakura Harris"/>
    <x v="1"/>
    <x v="14"/>
    <x v="1"/>
    <x v="1"/>
    <x v="19"/>
    <n v="1"/>
    <n v="12.93"/>
    <x v="0"/>
    <n v="12.93"/>
    <n v="8.94"/>
    <n v="-1.83"/>
    <x v="2"/>
  </r>
  <r>
    <s v="ORD-10730"/>
    <x v="638"/>
    <s v="Richard Dubois"/>
    <x v="2"/>
    <x v="2"/>
    <x v="0"/>
    <x v="3"/>
    <x v="13"/>
    <n v="1"/>
    <n v="71.91"/>
    <x v="4"/>
    <n v="68.31"/>
    <n v="7.27"/>
    <n v="25.09"/>
    <x v="1"/>
  </r>
  <r>
    <s v="ORD-11412"/>
    <x v="638"/>
    <s v="Raj Yamamoto"/>
    <x v="1"/>
    <x v="16"/>
    <x v="3"/>
    <x v="0"/>
    <x v="1"/>
    <n v="1"/>
    <n v="167.77"/>
    <x v="0"/>
    <n v="167.77"/>
    <n v="10.07"/>
    <n v="65.430000000000007"/>
    <x v="1"/>
  </r>
  <r>
    <s v="ORD-10873"/>
    <x v="639"/>
    <s v="Ethan Li"/>
    <x v="1"/>
    <x v="5"/>
    <x v="3"/>
    <x v="3"/>
    <x v="13"/>
    <n v="2"/>
    <n v="61.54"/>
    <x v="0"/>
    <n v="123.08"/>
    <n v="12.34"/>
    <n v="49.2"/>
    <x v="1"/>
  </r>
  <r>
    <s v="ORD-11472"/>
    <x v="639"/>
    <s v="Amir Taylor"/>
    <x v="1"/>
    <x v="19"/>
    <x v="1"/>
    <x v="0"/>
    <x v="1"/>
    <n v="1"/>
    <n v="146.19999999999999"/>
    <x v="4"/>
    <n v="138.88999999999999"/>
    <n v="7.89"/>
    <n v="50.59"/>
    <x v="0"/>
  </r>
  <r>
    <s v="ORD-11818"/>
    <x v="640"/>
    <s v="Clara Costa"/>
    <x v="0"/>
    <x v="14"/>
    <x v="1"/>
    <x v="2"/>
    <x v="34"/>
    <n v="1"/>
    <n v="40.32"/>
    <x v="3"/>
    <n v="36.29"/>
    <n v="9.2899999999999991"/>
    <n v="2.81"/>
    <x v="0"/>
  </r>
  <r>
    <s v="ORD-10035"/>
    <x v="641"/>
    <s v="Elizabeth Schmidt"/>
    <x v="1"/>
    <x v="5"/>
    <x v="3"/>
    <x v="0"/>
    <x v="0"/>
    <n v="6"/>
    <n v="228"/>
    <x v="2"/>
    <n v="1162.8"/>
    <n v="21.34"/>
    <n v="389.06"/>
    <x v="1"/>
  </r>
  <r>
    <s v="ORD-11120"/>
    <x v="641"/>
    <s v="Raj Martinez"/>
    <x v="1"/>
    <x v="18"/>
    <x v="4"/>
    <x v="0"/>
    <x v="0"/>
    <n v="9"/>
    <n v="107.1"/>
    <x v="0"/>
    <n v="963.9"/>
    <n v="24.75"/>
    <n v="409"/>
    <x v="2"/>
  </r>
  <r>
    <s v="ORD-10647"/>
    <x v="642"/>
    <s v="Ahmed Smith"/>
    <x v="1"/>
    <x v="2"/>
    <x v="0"/>
    <x v="1"/>
    <x v="25"/>
    <n v="1"/>
    <n v="11.74"/>
    <x v="4"/>
    <n v="11.15"/>
    <n v="7.16"/>
    <n v="-1.29"/>
    <x v="1"/>
  </r>
  <r>
    <s v="ORD-11796"/>
    <x v="642"/>
    <s v="Karen Suzuki"/>
    <x v="2"/>
    <x v="9"/>
    <x v="3"/>
    <x v="0"/>
    <x v="31"/>
    <n v="2"/>
    <n v="182.51"/>
    <x v="4"/>
    <n v="346.77"/>
    <n v="10.49"/>
    <n v="135.52000000000001"/>
    <x v="3"/>
  </r>
  <r>
    <s v="ORD-10657"/>
    <x v="643"/>
    <s v="Jamal Singh"/>
    <x v="2"/>
    <x v="7"/>
    <x v="4"/>
    <x v="0"/>
    <x v="28"/>
    <n v="7"/>
    <n v="59.14"/>
    <x v="2"/>
    <n v="351.88"/>
    <n v="23.53"/>
    <n v="100.66"/>
    <x v="1"/>
  </r>
  <r>
    <s v="ORD-11443"/>
    <x v="644"/>
    <s v="Ayumi Clark"/>
    <x v="2"/>
    <x v="0"/>
    <x v="0"/>
    <x v="2"/>
    <x v="15"/>
    <n v="2"/>
    <n v="239.93"/>
    <x v="0"/>
    <n v="479.86"/>
    <n v="6.98"/>
    <n v="184.96"/>
    <x v="1"/>
  </r>
  <r>
    <s v="ORD-10481"/>
    <x v="645"/>
    <s v="Lucas Yamamoto"/>
    <x v="1"/>
    <x v="15"/>
    <x v="2"/>
    <x v="0"/>
    <x v="3"/>
    <n v="2"/>
    <n v="48.49"/>
    <x v="3"/>
    <n v="87.28"/>
    <n v="12.86"/>
    <n v="21.08"/>
    <x v="0"/>
  </r>
  <r>
    <s v="ORD-11017"/>
    <x v="645"/>
    <s v="Olga Taylor"/>
    <x v="2"/>
    <x v="0"/>
    <x v="0"/>
    <x v="0"/>
    <x v="29"/>
    <n v="4"/>
    <n v="45.77"/>
    <x v="3"/>
    <n v="164.77"/>
    <n v="13.41"/>
    <n v="50.67"/>
    <x v="1"/>
  </r>
  <r>
    <s v="ORD-11755"/>
    <x v="646"/>
    <s v="Emma Dubois"/>
    <x v="1"/>
    <x v="19"/>
    <x v="1"/>
    <x v="1"/>
    <x v="19"/>
    <n v="6"/>
    <n v="14.68"/>
    <x v="2"/>
    <n v="74.87"/>
    <n v="15.34"/>
    <n v="19.89"/>
    <x v="1"/>
  </r>
  <r>
    <s v="ORD-10317"/>
    <x v="647"/>
    <s v="Ingrid Williams"/>
    <x v="0"/>
    <x v="19"/>
    <x v="1"/>
    <x v="2"/>
    <x v="15"/>
    <n v="4"/>
    <n v="163.97"/>
    <x v="0"/>
    <n v="655.88"/>
    <n v="16.75"/>
    <n v="245.6"/>
    <x v="2"/>
  </r>
  <r>
    <s v="ORD-11275"/>
    <x v="647"/>
    <s v="Jennifer Thomas"/>
    <x v="1"/>
    <x v="18"/>
    <x v="4"/>
    <x v="3"/>
    <x v="11"/>
    <n v="3"/>
    <n v="55.66"/>
    <x v="4"/>
    <n v="158.63"/>
    <n v="16.73"/>
    <n v="58.41"/>
    <x v="0"/>
  </r>
  <r>
    <s v="ORD-11471"/>
    <x v="647"/>
    <s v="Joseph Weber"/>
    <x v="1"/>
    <x v="13"/>
    <x v="0"/>
    <x v="0"/>
    <x v="31"/>
    <n v="1"/>
    <n v="112.7"/>
    <x v="4"/>
    <n v="107.06"/>
    <n v="6.08"/>
    <n v="38.99"/>
    <x v="1"/>
  </r>
  <r>
    <s v="ORD-11595"/>
    <x v="647"/>
    <s v="Hanna Williams"/>
    <x v="0"/>
    <x v="2"/>
    <x v="0"/>
    <x v="0"/>
    <x v="3"/>
    <n v="4"/>
    <n v="71.02"/>
    <x v="2"/>
    <n v="241.47"/>
    <n v="7.41"/>
    <n v="77.819999999999993"/>
    <x v="2"/>
  </r>
  <r>
    <s v="ORD-11821"/>
    <x v="648"/>
    <s v="Olivia Zhang"/>
    <x v="1"/>
    <x v="2"/>
    <x v="0"/>
    <x v="1"/>
    <x v="10"/>
    <n v="3"/>
    <n v="3.72"/>
    <x v="0"/>
    <n v="11.16"/>
    <n v="9.25"/>
    <n v="-3.11"/>
    <x v="2"/>
  </r>
  <r>
    <s v="ORD-10905"/>
    <x v="649"/>
    <s v="Chen Romano"/>
    <x v="1"/>
    <x v="16"/>
    <x v="3"/>
    <x v="1"/>
    <x v="17"/>
    <n v="2"/>
    <n v="11.45"/>
    <x v="4"/>
    <n v="21.75"/>
    <n v="11.85"/>
    <n v="-0.4"/>
    <x v="3"/>
  </r>
  <r>
    <s v="ORD-11427"/>
    <x v="649"/>
    <s v="Michael Leroy"/>
    <x v="2"/>
    <x v="0"/>
    <x v="0"/>
    <x v="1"/>
    <x v="25"/>
    <n v="6"/>
    <n v="14.94"/>
    <x v="2"/>
    <n v="76.19"/>
    <n v="10.4"/>
    <n v="25.45"/>
    <x v="1"/>
  </r>
  <r>
    <s v="ORD-11511"/>
    <x v="649"/>
    <s v="Kenji Johansson"/>
    <x v="1"/>
    <x v="3"/>
    <x v="1"/>
    <x v="0"/>
    <x v="3"/>
    <n v="1"/>
    <n v="52.34"/>
    <x v="4"/>
    <n v="49.72"/>
    <n v="7.84"/>
    <n v="13.09"/>
    <x v="3"/>
  </r>
  <r>
    <s v="ORD-11727"/>
    <x v="650"/>
    <s v="Robert Patel"/>
    <x v="0"/>
    <x v="16"/>
    <x v="3"/>
    <x v="2"/>
    <x v="39"/>
    <n v="6"/>
    <n v="128.18"/>
    <x v="4"/>
    <n v="730.63"/>
    <n v="15.96"/>
    <n v="253.22"/>
    <x v="0"/>
  </r>
  <r>
    <s v="ORD-10519"/>
    <x v="651"/>
    <s v="Jessica Park"/>
    <x v="2"/>
    <x v="1"/>
    <x v="1"/>
    <x v="1"/>
    <x v="2"/>
    <n v="1"/>
    <n v="7.4"/>
    <x v="0"/>
    <n v="7.4"/>
    <n v="8.0500000000000007"/>
    <n v="-3.98"/>
    <x v="2"/>
  </r>
  <r>
    <s v="ORD-11845"/>
    <x v="651"/>
    <s v="Maria MÃ¼ller"/>
    <x v="0"/>
    <x v="0"/>
    <x v="0"/>
    <x v="1"/>
    <x v="17"/>
    <n v="1"/>
    <n v="12.48"/>
    <x v="3"/>
    <n v="11.23"/>
    <n v="5.52"/>
    <n v="0.09"/>
    <x v="1"/>
  </r>
  <r>
    <s v="ORD-11166"/>
    <x v="652"/>
    <s v="Hans MÃ¼ller"/>
    <x v="1"/>
    <x v="4"/>
    <x v="2"/>
    <x v="2"/>
    <x v="14"/>
    <n v="1"/>
    <n v="418.59"/>
    <x v="0"/>
    <n v="418.59"/>
    <n v="12.47"/>
    <n v="154.97"/>
    <x v="1"/>
  </r>
  <r>
    <s v="ORD-10619"/>
    <x v="653"/>
    <s v="John Rodriguez"/>
    <x v="1"/>
    <x v="12"/>
    <x v="4"/>
    <x v="0"/>
    <x v="18"/>
    <n v="2"/>
    <n v="28.19"/>
    <x v="4"/>
    <n v="53.56"/>
    <n v="12.32"/>
    <n v="10.23"/>
    <x v="0"/>
  </r>
  <r>
    <s v="ORD-11249"/>
    <x v="654"/>
    <s v="Susan White"/>
    <x v="2"/>
    <x v="18"/>
    <x v="4"/>
    <x v="0"/>
    <x v="35"/>
    <n v="9"/>
    <n v="45.95"/>
    <x v="1"/>
    <n v="330.84"/>
    <n v="24.56"/>
    <n v="78.83"/>
    <x v="1"/>
  </r>
  <r>
    <s v="ORD-11308"/>
    <x v="655"/>
    <s v="Ivan Leroy"/>
    <x v="2"/>
    <x v="2"/>
    <x v="0"/>
    <x v="3"/>
    <x v="9"/>
    <n v="1"/>
    <n v="48.23"/>
    <x v="0"/>
    <n v="48.23"/>
    <n v="6.21"/>
    <n v="17.899999999999999"/>
    <x v="3"/>
  </r>
  <r>
    <s v="ORD-10159"/>
    <x v="656"/>
    <s v="Sarah Sharma"/>
    <x v="2"/>
    <x v="2"/>
    <x v="0"/>
    <x v="1"/>
    <x v="19"/>
    <n v="5"/>
    <n v="13.18"/>
    <x v="1"/>
    <n v="52.72"/>
    <n v="12.13"/>
    <n v="10.93"/>
    <x v="3"/>
  </r>
  <r>
    <s v="ORD-10247"/>
    <x v="656"/>
    <s v="Giulia Singh"/>
    <x v="1"/>
    <x v="0"/>
    <x v="0"/>
    <x v="3"/>
    <x v="33"/>
    <n v="1"/>
    <n v="17.18"/>
    <x v="0"/>
    <n v="17.18"/>
    <n v="7.15"/>
    <n v="1.44"/>
    <x v="2"/>
  </r>
  <r>
    <s v="ORD-10444"/>
    <x v="656"/>
    <s v="Giulia Taylor"/>
    <x v="1"/>
    <x v="14"/>
    <x v="1"/>
    <x v="2"/>
    <x v="5"/>
    <n v="2"/>
    <n v="135.69"/>
    <x v="3"/>
    <n v="244.24"/>
    <n v="8.42"/>
    <n v="72.989999999999995"/>
    <x v="2"/>
  </r>
  <r>
    <s v="ORD-10136"/>
    <x v="657"/>
    <s v="Xiao Weber"/>
    <x v="2"/>
    <x v="8"/>
    <x v="1"/>
    <x v="3"/>
    <x v="26"/>
    <n v="1"/>
    <n v="34.17"/>
    <x v="4"/>
    <n v="32.46"/>
    <n v="8.6999999999999993"/>
    <n v="6.68"/>
    <x v="3"/>
  </r>
  <r>
    <s v="ORD-10387"/>
    <x v="657"/>
    <s v="Jennifer Harris"/>
    <x v="2"/>
    <x v="3"/>
    <x v="1"/>
    <x v="0"/>
    <x v="3"/>
    <n v="2"/>
    <n v="51.32"/>
    <x v="1"/>
    <n v="82.11"/>
    <n v="11.91"/>
    <n v="13.75"/>
    <x v="1"/>
  </r>
  <r>
    <s v="ORD-10751"/>
    <x v="657"/>
    <s v="Pierre Leroy"/>
    <x v="2"/>
    <x v="2"/>
    <x v="0"/>
    <x v="3"/>
    <x v="11"/>
    <n v="9"/>
    <n v="64.33"/>
    <x v="4"/>
    <n v="550.02"/>
    <n v="22.61"/>
    <n v="237.92"/>
    <x v="2"/>
  </r>
  <r>
    <s v="ORD-11820"/>
    <x v="658"/>
    <s v="Mia Anderson"/>
    <x v="1"/>
    <x v="19"/>
    <x v="1"/>
    <x v="2"/>
    <x v="39"/>
    <n v="3"/>
    <n v="137.47"/>
    <x v="3"/>
    <n v="371.17"/>
    <n v="12.7"/>
    <n v="111.02"/>
    <x v="2"/>
  </r>
  <r>
    <s v="ORD-10538"/>
    <x v="659"/>
    <s v="Richard Ali"/>
    <x v="1"/>
    <x v="9"/>
    <x v="3"/>
    <x v="3"/>
    <x v="27"/>
    <n v="1"/>
    <n v="61.85"/>
    <x v="0"/>
    <n v="61.85"/>
    <n v="11.16"/>
    <n v="19.77"/>
    <x v="2"/>
  </r>
  <r>
    <s v="ORD-11584"/>
    <x v="659"/>
    <s v="Richard Zhang"/>
    <x v="0"/>
    <x v="6"/>
    <x v="2"/>
    <x v="0"/>
    <x v="18"/>
    <n v="4"/>
    <n v="67.37"/>
    <x v="3"/>
    <n v="242.53"/>
    <n v="15.81"/>
    <n v="78.510000000000005"/>
    <x v="2"/>
  </r>
  <r>
    <s v="ORD-11281"/>
    <x v="660"/>
    <s v="Ali Taylor"/>
    <x v="1"/>
    <x v="2"/>
    <x v="0"/>
    <x v="0"/>
    <x v="3"/>
    <n v="3"/>
    <n v="81.59"/>
    <x v="4"/>
    <n v="232.53"/>
    <n v="7.31"/>
    <n v="90.6"/>
    <x v="2"/>
  </r>
  <r>
    <s v="ORD-10348"/>
    <x v="661"/>
    <s v="Olivia White"/>
    <x v="1"/>
    <x v="17"/>
    <x v="3"/>
    <x v="2"/>
    <x v="34"/>
    <n v="3"/>
    <n v="48.66"/>
    <x v="4"/>
    <n v="138.68"/>
    <n v="11.5"/>
    <n v="39.590000000000003"/>
    <x v="0"/>
  </r>
  <r>
    <s v="ORD-10585"/>
    <x v="661"/>
    <s v="Ahmed Zhang"/>
    <x v="0"/>
    <x v="0"/>
    <x v="0"/>
    <x v="3"/>
    <x v="30"/>
    <n v="7"/>
    <n v="29.97"/>
    <x v="4"/>
    <n v="199.3"/>
    <n v="15.57"/>
    <n v="78.84"/>
    <x v="3"/>
  </r>
  <r>
    <s v="ORD-10889"/>
    <x v="662"/>
    <s v="Layla Johansson"/>
    <x v="0"/>
    <x v="4"/>
    <x v="2"/>
    <x v="0"/>
    <x v="28"/>
    <n v="1"/>
    <n v="29.02"/>
    <x v="4"/>
    <n v="27.57"/>
    <n v="11.87"/>
    <n v="-0.26"/>
    <x v="0"/>
  </r>
  <r>
    <s v="ORD-10987"/>
    <x v="663"/>
    <s v="Patricia Wang"/>
    <x v="0"/>
    <x v="14"/>
    <x v="1"/>
    <x v="2"/>
    <x v="21"/>
    <n v="2"/>
    <n v="78.8"/>
    <x v="4"/>
    <n v="149.72"/>
    <n v="11.19"/>
    <n v="43.97"/>
    <x v="2"/>
  </r>
  <r>
    <s v="ORD-11487"/>
    <x v="663"/>
    <s v="Sakura Zhang"/>
    <x v="1"/>
    <x v="1"/>
    <x v="1"/>
    <x v="0"/>
    <x v="3"/>
    <n v="2"/>
    <n v="67.91"/>
    <x v="0"/>
    <n v="135.82"/>
    <n v="8.98"/>
    <n v="52.14"/>
    <x v="2"/>
  </r>
  <r>
    <s v="ORD-11238"/>
    <x v="664"/>
    <s v="Carlos Jones"/>
    <x v="2"/>
    <x v="2"/>
    <x v="0"/>
    <x v="1"/>
    <x v="6"/>
    <n v="3"/>
    <n v="17.48"/>
    <x v="3"/>
    <n v="47.2"/>
    <n v="7.91"/>
    <n v="15.69"/>
    <x v="2"/>
  </r>
  <r>
    <s v="ORD-10894"/>
    <x v="665"/>
    <s v="John Martin"/>
    <x v="2"/>
    <x v="14"/>
    <x v="1"/>
    <x v="3"/>
    <x v="9"/>
    <n v="2"/>
    <n v="55.31"/>
    <x v="3"/>
    <n v="99.56"/>
    <n v="10.62"/>
    <n v="33.630000000000003"/>
    <x v="2"/>
  </r>
  <r>
    <s v="ORD-11005"/>
    <x v="665"/>
    <s v="Emma Anderson"/>
    <x v="2"/>
    <x v="2"/>
    <x v="0"/>
    <x v="0"/>
    <x v="29"/>
    <n v="5"/>
    <n v="25.46"/>
    <x v="4"/>
    <n v="120.94"/>
    <n v="16.36"/>
    <n v="34.56"/>
    <x v="1"/>
  </r>
  <r>
    <s v="ORD-11310"/>
    <x v="665"/>
    <s v="Hans Ali"/>
    <x v="0"/>
    <x v="3"/>
    <x v="1"/>
    <x v="1"/>
    <x v="23"/>
    <n v="4"/>
    <n v="19.04"/>
    <x v="4"/>
    <n v="72.349999999999994"/>
    <n v="13.88"/>
    <n v="24.2"/>
    <x v="1"/>
  </r>
  <r>
    <s v="ORD-11862"/>
    <x v="665"/>
    <s v="Thomas Clark"/>
    <x v="1"/>
    <x v="14"/>
    <x v="1"/>
    <x v="2"/>
    <x v="34"/>
    <n v="2"/>
    <n v="29.19"/>
    <x v="1"/>
    <n v="46.7"/>
    <n v="11.71"/>
    <n v="-0.04"/>
    <x v="1"/>
  </r>
  <r>
    <s v="ORD-11221"/>
    <x v="666"/>
    <s v="Olivia Kim"/>
    <x v="1"/>
    <x v="15"/>
    <x v="2"/>
    <x v="0"/>
    <x v="22"/>
    <n v="2"/>
    <n v="136.47999999999999"/>
    <x v="2"/>
    <n v="232.02"/>
    <n v="15.42"/>
    <n v="66.47"/>
    <x v="3"/>
  </r>
  <r>
    <s v="ORD-11757"/>
    <x v="666"/>
    <s v="Oscar Thompson"/>
    <x v="1"/>
    <x v="16"/>
    <x v="3"/>
    <x v="1"/>
    <x v="17"/>
    <n v="2"/>
    <n v="20.22"/>
    <x v="6"/>
    <n v="30.33"/>
    <n v="10.69"/>
    <n v="1.44"/>
    <x v="2"/>
  </r>
  <r>
    <s v="ORD-11860"/>
    <x v="666"/>
    <s v="Hans Patel"/>
    <x v="1"/>
    <x v="13"/>
    <x v="0"/>
    <x v="0"/>
    <x v="29"/>
    <n v="2"/>
    <n v="48.96"/>
    <x v="4"/>
    <n v="93.02"/>
    <n v="9.1"/>
    <n v="30.06"/>
    <x v="2"/>
  </r>
  <r>
    <s v="ORD-10337"/>
    <x v="667"/>
    <s v="Mary Chen"/>
    <x v="2"/>
    <x v="0"/>
    <x v="0"/>
    <x v="3"/>
    <x v="27"/>
    <n v="1"/>
    <n v="47.73"/>
    <x v="4"/>
    <n v="45.34"/>
    <n v="5.94"/>
    <n v="15.54"/>
    <x v="2"/>
  </r>
  <r>
    <s v="ORD-11695"/>
    <x v="668"/>
    <s v="Sophie Jackson"/>
    <x v="1"/>
    <x v="10"/>
    <x v="3"/>
    <x v="2"/>
    <x v="14"/>
    <n v="1"/>
    <n v="268.81"/>
    <x v="1"/>
    <n v="215.05"/>
    <n v="10.37"/>
    <n v="43.39"/>
    <x v="1"/>
  </r>
  <r>
    <s v="ORD-10774"/>
    <x v="669"/>
    <s v="Lucas Tanaka"/>
    <x v="2"/>
    <x v="6"/>
    <x v="2"/>
    <x v="0"/>
    <x v="28"/>
    <n v="9"/>
    <n v="50.88"/>
    <x v="3"/>
    <n v="412.13"/>
    <n v="17.34"/>
    <n v="142.93"/>
    <x v="2"/>
  </r>
  <r>
    <s v="ORD-11193"/>
    <x v="669"/>
    <s v="Raj Harris"/>
    <x v="1"/>
    <x v="2"/>
    <x v="0"/>
    <x v="0"/>
    <x v="28"/>
    <n v="4"/>
    <n v="43.48"/>
    <x v="3"/>
    <n v="156.53"/>
    <n v="9.4600000000000009"/>
    <n v="51.41"/>
    <x v="1"/>
  </r>
  <r>
    <s v="ORD-10331"/>
    <x v="670"/>
    <s v="Giulia White"/>
    <x v="1"/>
    <x v="10"/>
    <x v="3"/>
    <x v="2"/>
    <x v="8"/>
    <n v="5"/>
    <n v="45.17"/>
    <x v="0"/>
    <n v="225.85"/>
    <n v="16.440000000000001"/>
    <n v="73.900000000000006"/>
    <x v="1"/>
  </r>
  <r>
    <s v="ORD-10704"/>
    <x v="670"/>
    <s v="Fatima MÃ¼ller"/>
    <x v="0"/>
    <x v="3"/>
    <x v="1"/>
    <x v="0"/>
    <x v="0"/>
    <n v="1"/>
    <n v="77.8"/>
    <x v="2"/>
    <n v="66.13"/>
    <n v="9.26"/>
    <n v="14.08"/>
    <x v="3"/>
  </r>
  <r>
    <s v="ORD-11754"/>
    <x v="670"/>
    <s v="Sakura Chen"/>
    <x v="0"/>
    <x v="17"/>
    <x v="3"/>
    <x v="1"/>
    <x v="23"/>
    <n v="11"/>
    <n v="14.79"/>
    <x v="6"/>
    <n v="122.02"/>
    <n v="23.11"/>
    <n v="25.7"/>
    <x v="3"/>
  </r>
  <r>
    <s v="ORD-10976"/>
    <x v="671"/>
    <s v="Ahmed Jackson"/>
    <x v="0"/>
    <x v="15"/>
    <x v="2"/>
    <x v="1"/>
    <x v="20"/>
    <n v="6"/>
    <n v="17.829999999999998"/>
    <x v="4"/>
    <n v="101.63"/>
    <n v="21.4"/>
    <n v="32.090000000000003"/>
    <x v="3"/>
  </r>
  <r>
    <s v="ORD-10087"/>
    <x v="672"/>
    <s v="Omar Schmidt"/>
    <x v="0"/>
    <x v="13"/>
    <x v="0"/>
    <x v="2"/>
    <x v="4"/>
    <n v="8"/>
    <n v="222.57"/>
    <x v="0"/>
    <n v="1780.56"/>
    <n v="10.29"/>
    <n v="701.93"/>
    <x v="2"/>
  </r>
  <r>
    <s v="ORD-11637"/>
    <x v="672"/>
    <s v="Sarah Brown"/>
    <x v="1"/>
    <x v="13"/>
    <x v="0"/>
    <x v="0"/>
    <x v="35"/>
    <n v="3"/>
    <n v="42.99"/>
    <x v="0"/>
    <n v="128.97"/>
    <n v="6.89"/>
    <n v="51.15"/>
    <x v="1"/>
  </r>
  <r>
    <s v="ORD-11935"/>
    <x v="672"/>
    <s v="Isabella Thompson"/>
    <x v="1"/>
    <x v="9"/>
    <x v="3"/>
    <x v="1"/>
    <x v="23"/>
    <n v="14"/>
    <n v="11.48"/>
    <x v="0"/>
    <n v="160.72"/>
    <n v="39.83"/>
    <n v="48.57"/>
    <x v="2"/>
  </r>
  <r>
    <s v="ORD-10541"/>
    <x v="673"/>
    <s v="Clara Garcia"/>
    <x v="1"/>
    <x v="13"/>
    <x v="0"/>
    <x v="0"/>
    <x v="28"/>
    <n v="3"/>
    <n v="25.43"/>
    <x v="4"/>
    <n v="72.48"/>
    <n v="11.34"/>
    <n v="19.18"/>
    <x v="1"/>
  </r>
  <r>
    <s v="ORD-11429"/>
    <x v="673"/>
    <s v="Olga Wang"/>
    <x v="0"/>
    <x v="19"/>
    <x v="1"/>
    <x v="2"/>
    <x v="34"/>
    <n v="2"/>
    <n v="34.92"/>
    <x v="0"/>
    <n v="69.84"/>
    <n v="11.92"/>
    <n v="16.02"/>
    <x v="0"/>
  </r>
  <r>
    <s v="ORD-11614"/>
    <x v="673"/>
    <s v="Carlos Ali"/>
    <x v="1"/>
    <x v="16"/>
    <x v="3"/>
    <x v="3"/>
    <x v="9"/>
    <n v="3"/>
    <n v="24.3"/>
    <x v="4"/>
    <n v="69.25"/>
    <n v="10.77"/>
    <n v="22.03"/>
    <x v="2"/>
  </r>
  <r>
    <s v="ORD-11856"/>
    <x v="673"/>
    <s v="Kenji Martin"/>
    <x v="2"/>
    <x v="7"/>
    <x v="4"/>
    <x v="1"/>
    <x v="6"/>
    <n v="2"/>
    <n v="13.42"/>
    <x v="4"/>
    <n v="25.5"/>
    <n v="12.38"/>
    <n v="1.04"/>
    <x v="2"/>
  </r>
  <r>
    <s v="ORD-10255"/>
    <x v="674"/>
    <s v="Diego Rossi"/>
    <x v="0"/>
    <x v="13"/>
    <x v="0"/>
    <x v="0"/>
    <x v="29"/>
    <n v="2"/>
    <n v="42.23"/>
    <x v="3"/>
    <n v="76.010000000000005"/>
    <n v="9.52"/>
    <n v="20.04"/>
    <x v="2"/>
  </r>
  <r>
    <s v="ORD-10906"/>
    <x v="674"/>
    <s v="Wei Moreau"/>
    <x v="0"/>
    <x v="17"/>
    <x v="3"/>
    <x v="0"/>
    <x v="29"/>
    <n v="4"/>
    <n v="53.71"/>
    <x v="3"/>
    <n v="193.36"/>
    <n v="13.76"/>
    <n v="61.44"/>
    <x v="1"/>
  </r>
  <r>
    <s v="ORD-11368"/>
    <x v="674"/>
    <s v="Elizabeth Williams"/>
    <x v="1"/>
    <x v="13"/>
    <x v="0"/>
    <x v="0"/>
    <x v="28"/>
    <n v="7"/>
    <n v="23.09"/>
    <x v="0"/>
    <n v="161.63"/>
    <n v="20.84"/>
    <n v="51.89"/>
    <x v="3"/>
  </r>
  <r>
    <s v="ORD-10300"/>
    <x v="675"/>
    <s v="David Johansson"/>
    <x v="0"/>
    <x v="1"/>
    <x v="1"/>
    <x v="0"/>
    <x v="1"/>
    <n v="4"/>
    <n v="164.84"/>
    <x v="4"/>
    <n v="626.39"/>
    <n v="11.35"/>
    <n v="252.39"/>
    <x v="0"/>
  </r>
  <r>
    <s v="ORD-10803"/>
    <x v="675"/>
    <s v="Emma Romano"/>
    <x v="2"/>
    <x v="1"/>
    <x v="1"/>
    <x v="0"/>
    <x v="0"/>
    <n v="1"/>
    <n v="219.67"/>
    <x v="0"/>
    <n v="219.67"/>
    <n v="7.71"/>
    <n v="91.14"/>
    <x v="0"/>
  </r>
  <r>
    <s v="ORD-10264"/>
    <x v="676"/>
    <s v="Omar Thomas"/>
    <x v="1"/>
    <x v="9"/>
    <x v="3"/>
    <x v="1"/>
    <x v="20"/>
    <n v="4"/>
    <n v="16.100000000000001"/>
    <x v="6"/>
    <n v="48.3"/>
    <n v="13.08"/>
    <n v="6.24"/>
    <x v="2"/>
  </r>
  <r>
    <s v="ORD-10615"/>
    <x v="676"/>
    <s v="Giulia Smith"/>
    <x v="0"/>
    <x v="13"/>
    <x v="0"/>
    <x v="3"/>
    <x v="11"/>
    <n v="1"/>
    <n v="90.62"/>
    <x v="2"/>
    <n v="77.03"/>
    <n v="7.48"/>
    <n v="24.24"/>
    <x v="0"/>
  </r>
  <r>
    <s v="ORD-11666"/>
    <x v="676"/>
    <s v="Xiao Rodriguez"/>
    <x v="0"/>
    <x v="14"/>
    <x v="1"/>
    <x v="1"/>
    <x v="25"/>
    <n v="2"/>
    <n v="9.7799999999999994"/>
    <x v="2"/>
    <n v="16.63"/>
    <n v="10.08"/>
    <n v="-2.25"/>
    <x v="3"/>
  </r>
  <r>
    <s v="ORD-10778"/>
    <x v="677"/>
    <s v="Raj Harris"/>
    <x v="1"/>
    <x v="0"/>
    <x v="0"/>
    <x v="2"/>
    <x v="4"/>
    <n v="6"/>
    <n v="154.97"/>
    <x v="3"/>
    <n v="836.84"/>
    <n v="13.94"/>
    <n v="265.01"/>
    <x v="1"/>
  </r>
  <r>
    <s v="ORD-11647"/>
    <x v="677"/>
    <s v="Emma Chen"/>
    <x v="1"/>
    <x v="5"/>
    <x v="3"/>
    <x v="1"/>
    <x v="6"/>
    <n v="2"/>
    <n v="20.57"/>
    <x v="4"/>
    <n v="39.08"/>
    <n v="12.63"/>
    <n v="7.94"/>
    <x v="3"/>
  </r>
  <r>
    <s v="ORD-11591"/>
    <x v="678"/>
    <s v="Priya Romano"/>
    <x v="2"/>
    <x v="3"/>
    <x v="1"/>
    <x v="0"/>
    <x v="0"/>
    <n v="1"/>
    <n v="116.2"/>
    <x v="0"/>
    <n v="116.2"/>
    <n v="7.59"/>
    <n v="44.7"/>
    <x v="1"/>
  </r>
  <r>
    <s v="ORD-11057"/>
    <x v="679"/>
    <s v="Ali MÃ¼ller"/>
    <x v="1"/>
    <x v="16"/>
    <x v="3"/>
    <x v="0"/>
    <x v="7"/>
    <n v="5"/>
    <n v="27.29"/>
    <x v="3"/>
    <n v="122.8"/>
    <n v="20.239999999999998"/>
    <n v="27.51"/>
    <x v="1"/>
  </r>
  <r>
    <s v="ORD-11127"/>
    <x v="679"/>
    <s v="Diego Weber"/>
    <x v="2"/>
    <x v="14"/>
    <x v="1"/>
    <x v="2"/>
    <x v="39"/>
    <n v="4"/>
    <n v="128.69999999999999"/>
    <x v="0"/>
    <n v="514.79999999999995"/>
    <n v="10.27"/>
    <n v="195.65"/>
    <x v="1"/>
  </r>
  <r>
    <s v="ORD-11410"/>
    <x v="679"/>
    <s v="William Wang"/>
    <x v="2"/>
    <x v="4"/>
    <x v="2"/>
    <x v="0"/>
    <x v="22"/>
    <n v="3"/>
    <n v="93.28"/>
    <x v="3"/>
    <n v="251.86"/>
    <n v="18"/>
    <n v="79.95"/>
    <x v="2"/>
  </r>
  <r>
    <s v="ORD-10123"/>
    <x v="680"/>
    <s v="Priya Patel"/>
    <x v="2"/>
    <x v="18"/>
    <x v="4"/>
    <x v="2"/>
    <x v="5"/>
    <n v="1"/>
    <n v="193.39"/>
    <x v="3"/>
    <n v="174.05"/>
    <n v="12.06"/>
    <n v="45.96"/>
    <x v="1"/>
  </r>
  <r>
    <s v="ORD-11126"/>
    <x v="680"/>
    <s v="David Park"/>
    <x v="1"/>
    <x v="4"/>
    <x v="2"/>
    <x v="3"/>
    <x v="33"/>
    <n v="11"/>
    <n v="31.57"/>
    <x v="4"/>
    <n v="329.91"/>
    <n v="24.65"/>
    <n v="131.63"/>
    <x v="1"/>
  </r>
  <r>
    <s v="ORD-11157"/>
    <x v="680"/>
    <s v="James Miller"/>
    <x v="2"/>
    <x v="13"/>
    <x v="0"/>
    <x v="2"/>
    <x v="32"/>
    <n v="9"/>
    <n v="33.729999999999997"/>
    <x v="2"/>
    <n v="258.02999999999997"/>
    <n v="13.96"/>
    <n v="61.93"/>
    <x v="1"/>
  </r>
  <r>
    <s v="ORD-11219"/>
    <x v="680"/>
    <s v="Olga Ali"/>
    <x v="1"/>
    <x v="6"/>
    <x v="2"/>
    <x v="1"/>
    <x v="17"/>
    <n v="1"/>
    <n v="14.71"/>
    <x v="3"/>
    <n v="13.24"/>
    <n v="11.69"/>
    <n v="-5.07"/>
    <x v="2"/>
  </r>
  <r>
    <s v="ORD-11438"/>
    <x v="680"/>
    <s v="Olga Russo"/>
    <x v="1"/>
    <x v="3"/>
    <x v="1"/>
    <x v="0"/>
    <x v="31"/>
    <n v="1"/>
    <n v="115.93"/>
    <x v="4"/>
    <n v="110.13"/>
    <n v="9.2899999999999991"/>
    <n v="37.08"/>
    <x v="1"/>
  </r>
  <r>
    <s v="ORD-11493"/>
    <x v="680"/>
    <s v="Amina Khan"/>
    <x v="0"/>
    <x v="9"/>
    <x v="3"/>
    <x v="3"/>
    <x v="9"/>
    <n v="1"/>
    <n v="39.65"/>
    <x v="0"/>
    <n v="39.65"/>
    <n v="11.01"/>
    <n v="8.81"/>
    <x v="3"/>
  </r>
  <r>
    <s v="ORD-10684"/>
    <x v="681"/>
    <s v="Ingrid Clark"/>
    <x v="0"/>
    <x v="13"/>
    <x v="0"/>
    <x v="1"/>
    <x v="25"/>
    <n v="1"/>
    <n v="13.25"/>
    <x v="4"/>
    <n v="12.59"/>
    <n v="5.69"/>
    <n v="0.94"/>
    <x v="2"/>
  </r>
  <r>
    <s v="ORD-11089"/>
    <x v="681"/>
    <s v="Hans Zhang"/>
    <x v="2"/>
    <x v="1"/>
    <x v="1"/>
    <x v="1"/>
    <x v="20"/>
    <n v="3"/>
    <n v="9.3800000000000008"/>
    <x v="4"/>
    <n v="26.73"/>
    <n v="8.9499999999999993"/>
    <n v="5.12"/>
    <x v="2"/>
  </r>
  <r>
    <s v="ORD-11190"/>
    <x v="681"/>
    <s v="Jennifer Leroy"/>
    <x v="0"/>
    <x v="9"/>
    <x v="3"/>
    <x v="0"/>
    <x v="18"/>
    <n v="4"/>
    <n v="55.11"/>
    <x v="3"/>
    <n v="198.4"/>
    <n v="13.84"/>
    <n v="63.32"/>
    <x v="0"/>
  </r>
  <r>
    <s v="ORD-11312"/>
    <x v="681"/>
    <s v="Ahmed Hassan"/>
    <x v="0"/>
    <x v="2"/>
    <x v="0"/>
    <x v="0"/>
    <x v="31"/>
    <n v="3"/>
    <n v="60.01"/>
    <x v="3"/>
    <n v="162.03"/>
    <n v="11.24"/>
    <n v="51.77"/>
    <x v="1"/>
  </r>
  <r>
    <s v="ORD-11485"/>
    <x v="681"/>
    <s v="Joseph Garcia"/>
    <x v="1"/>
    <x v="5"/>
    <x v="3"/>
    <x v="1"/>
    <x v="23"/>
    <n v="2"/>
    <n v="19.7"/>
    <x v="3"/>
    <n v="35.46"/>
    <n v="10.39"/>
    <n v="7.34"/>
    <x v="1"/>
  </r>
  <r>
    <s v="ORD-10148"/>
    <x v="682"/>
    <s v="Sarah Smith"/>
    <x v="2"/>
    <x v="18"/>
    <x v="4"/>
    <x v="1"/>
    <x v="38"/>
    <n v="1"/>
    <n v="8.77"/>
    <x v="1"/>
    <n v="7.02"/>
    <n v="11.14"/>
    <n v="-8.07"/>
    <x v="2"/>
  </r>
  <r>
    <s v="ORD-10679"/>
    <x v="682"/>
    <s v="Sophie Jones"/>
    <x v="1"/>
    <x v="1"/>
    <x v="1"/>
    <x v="0"/>
    <x v="7"/>
    <n v="2"/>
    <n v="44.96"/>
    <x v="0"/>
    <n v="89.92"/>
    <n v="11.48"/>
    <n v="28.98"/>
    <x v="1"/>
  </r>
  <r>
    <s v="ORD-11027"/>
    <x v="682"/>
    <s v="Amir Ali"/>
    <x v="1"/>
    <x v="3"/>
    <x v="1"/>
    <x v="1"/>
    <x v="20"/>
    <n v="4"/>
    <n v="19.2"/>
    <x v="3"/>
    <n v="69.12"/>
    <n v="12.91"/>
    <n v="21.65"/>
    <x v="1"/>
  </r>
  <r>
    <s v="ORD-10990"/>
    <x v="683"/>
    <s v="Richard Yamamoto"/>
    <x v="0"/>
    <x v="12"/>
    <x v="4"/>
    <x v="2"/>
    <x v="14"/>
    <n v="2"/>
    <n v="165.71"/>
    <x v="0"/>
    <n v="331.42"/>
    <n v="12.42"/>
    <n v="120.15"/>
    <x v="3"/>
  </r>
  <r>
    <s v="ORD-11848"/>
    <x v="683"/>
    <s v="Richard Weber"/>
    <x v="1"/>
    <x v="13"/>
    <x v="0"/>
    <x v="0"/>
    <x v="31"/>
    <n v="1"/>
    <n v="155.22"/>
    <x v="2"/>
    <n v="131.94"/>
    <n v="6.82"/>
    <n v="39.75"/>
    <x v="1"/>
  </r>
  <r>
    <s v="ORD-10080"/>
    <x v="684"/>
    <s v="Hans Sharma"/>
    <x v="1"/>
    <x v="15"/>
    <x v="2"/>
    <x v="0"/>
    <x v="0"/>
    <n v="2"/>
    <n v="238.98"/>
    <x v="4"/>
    <n v="454.06"/>
    <n v="12.39"/>
    <n v="178.79"/>
    <x v="0"/>
  </r>
  <r>
    <s v="ORD-10187"/>
    <x v="685"/>
    <s v="Wei MÃ¼ller"/>
    <x v="0"/>
    <x v="11"/>
    <x v="2"/>
    <x v="1"/>
    <x v="20"/>
    <n v="1"/>
    <n v="14.87"/>
    <x v="2"/>
    <n v="12.64"/>
    <n v="12.93"/>
    <n v="-6.98"/>
    <x v="3"/>
  </r>
  <r>
    <s v="ORD-10198"/>
    <x v="685"/>
    <s v="Mary Weber"/>
    <x v="1"/>
    <x v="4"/>
    <x v="2"/>
    <x v="1"/>
    <x v="2"/>
    <n v="2"/>
    <n v="12.81"/>
    <x v="0"/>
    <n v="25.62"/>
    <n v="14.26"/>
    <n v="-0.17"/>
    <x v="3"/>
  </r>
  <r>
    <s v="ORD-11003"/>
    <x v="686"/>
    <s v="Layla Jackson"/>
    <x v="2"/>
    <x v="17"/>
    <x v="3"/>
    <x v="1"/>
    <x v="2"/>
    <n v="2"/>
    <n v="14.06"/>
    <x v="2"/>
    <n v="23.9"/>
    <n v="10.76"/>
    <n v="0.49"/>
    <x v="3"/>
  </r>
  <r>
    <s v="ORD-11524"/>
    <x v="686"/>
    <s v="Olivia Anderson"/>
    <x v="1"/>
    <x v="2"/>
    <x v="0"/>
    <x v="1"/>
    <x v="10"/>
    <n v="1"/>
    <n v="9.33"/>
    <x v="0"/>
    <n v="9.33"/>
    <n v="6.05"/>
    <n v="-0.92"/>
    <x v="0"/>
  </r>
  <r>
    <s v="ORD-11540"/>
    <x v="686"/>
    <s v="Noah Moreau"/>
    <x v="2"/>
    <x v="17"/>
    <x v="3"/>
    <x v="3"/>
    <x v="13"/>
    <n v="10"/>
    <n v="147.28"/>
    <x v="0"/>
    <n v="1472.8"/>
    <n v="27.39"/>
    <n v="709.01"/>
    <x v="2"/>
  </r>
  <r>
    <s v="ORD-11554"/>
    <x v="686"/>
    <s v="Hanna Li"/>
    <x v="1"/>
    <x v="5"/>
    <x v="3"/>
    <x v="3"/>
    <x v="11"/>
    <n v="2"/>
    <n v="32.49"/>
    <x v="4"/>
    <n v="61.73"/>
    <n v="11.25"/>
    <n v="17.989999999999998"/>
    <x v="1"/>
  </r>
  <r>
    <s v="ORD-11278"/>
    <x v="687"/>
    <s v="Wei Anderson"/>
    <x v="1"/>
    <x v="10"/>
    <x v="3"/>
    <x v="2"/>
    <x v="5"/>
    <n v="4"/>
    <n v="67.489999999999995"/>
    <x v="3"/>
    <n v="242.96"/>
    <n v="11.71"/>
    <n v="69.27"/>
    <x v="1"/>
  </r>
  <r>
    <s v="ORD-11829"/>
    <x v="687"/>
    <s v="Nadia Wang"/>
    <x v="1"/>
    <x v="1"/>
    <x v="1"/>
    <x v="2"/>
    <x v="15"/>
    <n v="7"/>
    <n v="294.08999999999997"/>
    <x v="0"/>
    <n v="2058.63"/>
    <n v="15.1"/>
    <n v="808.35"/>
    <x v="2"/>
  </r>
  <r>
    <s v="ORD-10966"/>
    <x v="688"/>
    <s v="Wei Li"/>
    <x v="0"/>
    <x v="18"/>
    <x v="4"/>
    <x v="0"/>
    <x v="35"/>
    <n v="5"/>
    <n v="61.12"/>
    <x v="1"/>
    <n v="244.48"/>
    <n v="22.01"/>
    <n v="54.39"/>
    <x v="1"/>
  </r>
  <r>
    <s v="ORD-11078"/>
    <x v="688"/>
    <s v="Layla Leroy"/>
    <x v="0"/>
    <x v="6"/>
    <x v="2"/>
    <x v="0"/>
    <x v="28"/>
    <n v="4"/>
    <n v="46.7"/>
    <x v="0"/>
    <n v="186.8"/>
    <n v="17.05"/>
    <n v="67.010000000000005"/>
    <x v="1"/>
  </r>
  <r>
    <s v="ORD-11656"/>
    <x v="688"/>
    <s v="Hans Kumar"/>
    <x v="1"/>
    <x v="18"/>
    <x v="4"/>
    <x v="0"/>
    <x v="29"/>
    <n v="4"/>
    <n v="25.36"/>
    <x v="1"/>
    <n v="81.150000000000006"/>
    <n v="14.4"/>
    <n v="10.96"/>
    <x v="0"/>
  </r>
  <r>
    <s v="ORD-10634"/>
    <x v="689"/>
    <s v="Priya Sharma"/>
    <x v="0"/>
    <x v="0"/>
    <x v="0"/>
    <x v="2"/>
    <x v="8"/>
    <n v="13"/>
    <n v="84.96"/>
    <x v="2"/>
    <n v="938.81"/>
    <n v="32.07"/>
    <n v="244.05"/>
    <x v="0"/>
  </r>
  <r>
    <s v="ORD-11841"/>
    <x v="689"/>
    <s v="Pierre Garcia"/>
    <x v="2"/>
    <x v="0"/>
    <x v="0"/>
    <x v="1"/>
    <x v="2"/>
    <n v="1"/>
    <n v="15.62"/>
    <x v="0"/>
    <n v="15.62"/>
    <n v="6.6"/>
    <n v="1.99"/>
    <x v="3"/>
  </r>
  <r>
    <s v="ORD-10172"/>
    <x v="690"/>
    <s v="Amina Singh"/>
    <x v="1"/>
    <x v="2"/>
    <x v="0"/>
    <x v="0"/>
    <x v="31"/>
    <n v="3"/>
    <n v="155.55000000000001"/>
    <x v="0"/>
    <n v="466.65"/>
    <n v="9.51"/>
    <n v="200.48"/>
    <x v="2"/>
  </r>
  <r>
    <s v="ORD-10626"/>
    <x v="690"/>
    <s v="David Chen"/>
    <x v="0"/>
    <x v="12"/>
    <x v="4"/>
    <x v="3"/>
    <x v="30"/>
    <n v="2"/>
    <n v="10.67"/>
    <x v="2"/>
    <n v="18.14"/>
    <n v="13.02"/>
    <n v="-5.55"/>
    <x v="3"/>
  </r>
  <r>
    <s v="ORD-11577"/>
    <x v="690"/>
    <s v="Xiao White"/>
    <x v="0"/>
    <x v="14"/>
    <x v="1"/>
    <x v="2"/>
    <x v="39"/>
    <n v="3"/>
    <n v="138.55000000000001"/>
    <x v="0"/>
    <n v="415.65"/>
    <n v="9.02"/>
    <n v="157.24"/>
    <x v="2"/>
  </r>
  <r>
    <s v="ORD-10027"/>
    <x v="691"/>
    <s v="Pierre Pereira"/>
    <x v="1"/>
    <x v="5"/>
    <x v="3"/>
    <x v="0"/>
    <x v="3"/>
    <n v="2"/>
    <n v="76.94"/>
    <x v="3"/>
    <n v="138.49"/>
    <n v="12.94"/>
    <n v="40.92"/>
    <x v="1"/>
  </r>
  <r>
    <s v="ORD-11416"/>
    <x v="692"/>
    <s v="Liam Clark"/>
    <x v="1"/>
    <x v="4"/>
    <x v="2"/>
    <x v="0"/>
    <x v="35"/>
    <n v="10"/>
    <n v="31.3"/>
    <x v="3"/>
    <n v="281.7"/>
    <n v="16.36"/>
    <n v="93.19"/>
    <x v="2"/>
  </r>
  <r>
    <s v="ORD-11879"/>
    <x v="692"/>
    <s v="Giulia Miller"/>
    <x v="1"/>
    <x v="10"/>
    <x v="3"/>
    <x v="2"/>
    <x v="4"/>
    <n v="2"/>
    <n v="320.60000000000002"/>
    <x v="0"/>
    <n v="641.20000000000005"/>
    <n v="12.1"/>
    <n v="244.38"/>
    <x v="1"/>
  </r>
  <r>
    <s v="ORD-10854"/>
    <x v="693"/>
    <s v="Ingrid Robinson"/>
    <x v="2"/>
    <x v="12"/>
    <x v="4"/>
    <x v="0"/>
    <x v="1"/>
    <n v="1"/>
    <n v="172.2"/>
    <x v="0"/>
    <n v="172.2"/>
    <n v="12.38"/>
    <n v="65.11"/>
    <x v="1"/>
  </r>
  <r>
    <s v="ORD-10244"/>
    <x v="694"/>
    <s v="Michael Tanaka"/>
    <x v="1"/>
    <x v="14"/>
    <x v="1"/>
    <x v="2"/>
    <x v="36"/>
    <n v="2"/>
    <n v="163.76"/>
    <x v="2"/>
    <n v="278.39"/>
    <n v="11.15"/>
    <n v="70.73"/>
    <x v="2"/>
  </r>
  <r>
    <s v="ORD-10756"/>
    <x v="694"/>
    <s v="Lucas Costa"/>
    <x v="1"/>
    <x v="0"/>
    <x v="0"/>
    <x v="0"/>
    <x v="7"/>
    <n v="2"/>
    <n v="36.57"/>
    <x v="2"/>
    <n v="62.17"/>
    <n v="8.5299999999999994"/>
    <n v="13.41"/>
    <x v="2"/>
  </r>
  <r>
    <s v="ORD-10289"/>
    <x v="695"/>
    <s v="Chen Santos"/>
    <x v="0"/>
    <x v="9"/>
    <x v="3"/>
    <x v="0"/>
    <x v="29"/>
    <n v="7"/>
    <n v="19.93"/>
    <x v="3"/>
    <n v="125.56"/>
    <n v="20.75"/>
    <n v="28.08"/>
    <x v="2"/>
  </r>
  <r>
    <s v="ORD-10982"/>
    <x v="695"/>
    <s v="Sophie Johnson"/>
    <x v="2"/>
    <x v="3"/>
    <x v="1"/>
    <x v="1"/>
    <x v="23"/>
    <n v="1"/>
    <n v="9.5"/>
    <x v="3"/>
    <n v="8.5500000000000007"/>
    <n v="8.3000000000000007"/>
    <n v="-4.03"/>
    <x v="2"/>
  </r>
  <r>
    <s v="ORD-11772"/>
    <x v="695"/>
    <s v="Christopher Tanaka"/>
    <x v="2"/>
    <x v="15"/>
    <x v="2"/>
    <x v="1"/>
    <x v="23"/>
    <n v="8"/>
    <n v="17.87"/>
    <x v="1"/>
    <n v="114.37"/>
    <n v="18.77"/>
    <n v="31.27"/>
    <x v="2"/>
  </r>
  <r>
    <s v="ORD-10371"/>
    <x v="696"/>
    <s v="Sophie Rossi"/>
    <x v="0"/>
    <x v="2"/>
    <x v="0"/>
    <x v="1"/>
    <x v="23"/>
    <n v="3"/>
    <n v="11.65"/>
    <x v="2"/>
    <n v="29.71"/>
    <n v="11.8"/>
    <n v="2.1800000000000002"/>
    <x v="1"/>
  </r>
  <r>
    <s v="ORD-10856"/>
    <x v="696"/>
    <s v="Raj Pereira"/>
    <x v="1"/>
    <x v="2"/>
    <x v="0"/>
    <x v="0"/>
    <x v="31"/>
    <n v="1"/>
    <n v="136.78"/>
    <x v="3"/>
    <n v="123.1"/>
    <n v="7.09"/>
    <n v="40.78"/>
    <x v="1"/>
  </r>
  <r>
    <s v="ORD-10191"/>
    <x v="697"/>
    <s v="Karen Hassan"/>
    <x v="2"/>
    <x v="19"/>
    <x v="1"/>
    <x v="3"/>
    <x v="27"/>
    <n v="9"/>
    <n v="25.8"/>
    <x v="0"/>
    <n v="232.2"/>
    <n v="17.11"/>
    <n v="98.99"/>
    <x v="2"/>
  </r>
  <r>
    <s v="ORD-11469"/>
    <x v="697"/>
    <s v="Jennifer Harris"/>
    <x v="0"/>
    <x v="7"/>
    <x v="4"/>
    <x v="3"/>
    <x v="11"/>
    <n v="8"/>
    <n v="34"/>
    <x v="5"/>
    <n v="190.4"/>
    <n v="15.18"/>
    <n v="39.22"/>
    <x v="0"/>
  </r>
  <r>
    <s v="ORD-11952"/>
    <x v="697"/>
    <s v="Hanna Rodriguez"/>
    <x v="1"/>
    <x v="8"/>
    <x v="1"/>
    <x v="2"/>
    <x v="39"/>
    <n v="2"/>
    <n v="155.18"/>
    <x v="6"/>
    <n v="232.77"/>
    <n v="8.56"/>
    <n v="37.99"/>
    <x v="1"/>
  </r>
  <r>
    <s v="ORD-11041"/>
    <x v="698"/>
    <s v="Christopher Harris"/>
    <x v="0"/>
    <x v="14"/>
    <x v="1"/>
    <x v="2"/>
    <x v="32"/>
    <n v="2"/>
    <n v="59.73"/>
    <x v="4"/>
    <n v="113.49"/>
    <n v="10.47"/>
    <n v="31.34"/>
    <x v="2"/>
  </r>
  <r>
    <s v="ORD-11317"/>
    <x v="698"/>
    <s v="John Pereira"/>
    <x v="1"/>
    <x v="0"/>
    <x v="0"/>
    <x v="2"/>
    <x v="4"/>
    <n v="5"/>
    <n v="217.51"/>
    <x v="2"/>
    <n v="924.42"/>
    <n v="16.809999999999999"/>
    <n v="255.08"/>
    <x v="1"/>
  </r>
  <r>
    <s v="ORD-11405"/>
    <x v="699"/>
    <s v="Layla Ferrari"/>
    <x v="0"/>
    <x v="16"/>
    <x v="3"/>
    <x v="2"/>
    <x v="32"/>
    <n v="2"/>
    <n v="60.6"/>
    <x v="3"/>
    <n v="109.08"/>
    <n v="10.52"/>
    <n v="25.84"/>
    <x v="1"/>
  </r>
  <r>
    <s v="ORD-11819"/>
    <x v="699"/>
    <s v="Mia Johansson"/>
    <x v="1"/>
    <x v="9"/>
    <x v="3"/>
    <x v="2"/>
    <x v="4"/>
    <n v="5"/>
    <n v="166.65"/>
    <x v="4"/>
    <n v="791.59"/>
    <n v="13.99"/>
    <n v="277.64999999999998"/>
    <x v="3"/>
  </r>
  <r>
    <s v="ORD-10293"/>
    <x v="700"/>
    <s v="Emma Wang"/>
    <x v="1"/>
    <x v="3"/>
    <x v="1"/>
    <x v="1"/>
    <x v="12"/>
    <n v="6"/>
    <n v="12.86"/>
    <x v="2"/>
    <n v="65.59"/>
    <n v="16.27"/>
    <n v="14.6"/>
    <x v="1"/>
  </r>
  <r>
    <s v="ORD-10485"/>
    <x v="700"/>
    <s v="Omar Patel"/>
    <x v="2"/>
    <x v="19"/>
    <x v="1"/>
    <x v="0"/>
    <x v="1"/>
    <n v="5"/>
    <n v="53.7"/>
    <x v="4"/>
    <n v="255.07"/>
    <n v="19.21"/>
    <n v="88.18"/>
    <x v="2"/>
  </r>
  <r>
    <s v="ORD-10490"/>
    <x v="700"/>
    <s v="Hans Costa"/>
    <x v="1"/>
    <x v="11"/>
    <x v="2"/>
    <x v="2"/>
    <x v="4"/>
    <n v="1"/>
    <n v="129.13999999999999"/>
    <x v="0"/>
    <n v="129.13999999999999"/>
    <n v="12.2"/>
    <n v="39.46"/>
    <x v="2"/>
  </r>
  <r>
    <s v="ORD-11756"/>
    <x v="700"/>
    <s v="Jessica Brown"/>
    <x v="2"/>
    <x v="0"/>
    <x v="0"/>
    <x v="0"/>
    <x v="18"/>
    <n v="1"/>
    <n v="31.62"/>
    <x v="4"/>
    <n v="30.04"/>
    <n v="7.3"/>
    <n v="5.35"/>
    <x v="3"/>
  </r>
  <r>
    <s v="ORD-10135"/>
    <x v="701"/>
    <s v="Ayumi Harris"/>
    <x v="1"/>
    <x v="13"/>
    <x v="0"/>
    <x v="0"/>
    <x v="28"/>
    <n v="8"/>
    <n v="56.61"/>
    <x v="3"/>
    <n v="407.59"/>
    <n v="12.04"/>
    <n v="146.47"/>
    <x v="1"/>
  </r>
  <r>
    <s v="ORD-10698"/>
    <x v="701"/>
    <s v="Joseph Thompson"/>
    <x v="1"/>
    <x v="7"/>
    <x v="4"/>
    <x v="0"/>
    <x v="0"/>
    <n v="1"/>
    <n v="82.26"/>
    <x v="3"/>
    <n v="74.03"/>
    <n v="11.14"/>
    <n v="17.649999999999999"/>
    <x v="1"/>
  </r>
  <r>
    <s v="ORD-10911"/>
    <x v="701"/>
    <s v="Xiao Sharma"/>
    <x v="1"/>
    <x v="12"/>
    <x v="4"/>
    <x v="3"/>
    <x v="37"/>
    <n v="1"/>
    <n v="29.71"/>
    <x v="0"/>
    <n v="29.71"/>
    <n v="11.72"/>
    <n v="3.13"/>
    <x v="2"/>
  </r>
  <r>
    <s v="ORD-11206"/>
    <x v="701"/>
    <s v="Christopher Jones"/>
    <x v="1"/>
    <x v="13"/>
    <x v="0"/>
    <x v="0"/>
    <x v="22"/>
    <n v="4"/>
    <n v="144.04"/>
    <x v="2"/>
    <n v="489.74"/>
    <n v="9.35"/>
    <n v="163.5"/>
    <x v="2"/>
  </r>
  <r>
    <s v="ORD-11578"/>
    <x v="702"/>
    <s v="Sarah Leroy"/>
    <x v="0"/>
    <x v="0"/>
    <x v="0"/>
    <x v="3"/>
    <x v="33"/>
    <n v="11"/>
    <n v="46.45"/>
    <x v="4"/>
    <n v="485.4"/>
    <n v="10.89"/>
    <n v="219.03"/>
    <x v="2"/>
  </r>
  <r>
    <s v="ORD-11677"/>
    <x v="702"/>
    <s v="Robert Davis"/>
    <x v="1"/>
    <x v="16"/>
    <x v="3"/>
    <x v="2"/>
    <x v="36"/>
    <n v="1"/>
    <n v="215.75"/>
    <x v="4"/>
    <n v="204.96"/>
    <n v="10.58"/>
    <n v="64.930000000000007"/>
    <x v="1"/>
  </r>
  <r>
    <s v="ORD-10081"/>
    <x v="703"/>
    <s v="Sarah Tanaka"/>
    <x v="1"/>
    <x v="16"/>
    <x v="3"/>
    <x v="1"/>
    <x v="20"/>
    <n v="4"/>
    <n v="18.399999999999999"/>
    <x v="2"/>
    <n v="62.56"/>
    <n v="15.93"/>
    <n v="13.51"/>
    <x v="0"/>
  </r>
  <r>
    <s v="ORD-10618"/>
    <x v="703"/>
    <s v="Isabella Nilsson"/>
    <x v="0"/>
    <x v="14"/>
    <x v="1"/>
    <x v="2"/>
    <x v="36"/>
    <n v="4"/>
    <n v="250.2"/>
    <x v="4"/>
    <n v="950.76"/>
    <n v="13.7"/>
    <n v="336.58"/>
    <x v="2"/>
  </r>
  <r>
    <s v="ORD-11389"/>
    <x v="703"/>
    <s v="Fatima Yamamoto"/>
    <x v="1"/>
    <x v="18"/>
    <x v="4"/>
    <x v="1"/>
    <x v="20"/>
    <n v="7"/>
    <n v="17.16"/>
    <x v="0"/>
    <n v="120.12"/>
    <n v="18.68"/>
    <n v="47.39"/>
    <x v="2"/>
  </r>
  <r>
    <s v="ORD-11495"/>
    <x v="703"/>
    <s v="Joseph Schmidt"/>
    <x v="2"/>
    <x v="17"/>
    <x v="3"/>
    <x v="1"/>
    <x v="12"/>
    <n v="3"/>
    <n v="18.940000000000001"/>
    <x v="4"/>
    <n v="53.98"/>
    <n v="14.46"/>
    <n v="13.95"/>
    <x v="1"/>
  </r>
  <r>
    <s v="ORD-11913"/>
    <x v="703"/>
    <s v="Richard Williams"/>
    <x v="1"/>
    <x v="5"/>
    <x v="3"/>
    <x v="0"/>
    <x v="31"/>
    <n v="2"/>
    <n v="45.23"/>
    <x v="3"/>
    <n v="81.41"/>
    <n v="12.87"/>
    <n v="18.79"/>
    <x v="2"/>
  </r>
  <r>
    <s v="ORD-10002"/>
    <x v="704"/>
    <s v="Patricia Leroy"/>
    <x v="1"/>
    <x v="16"/>
    <x v="3"/>
    <x v="0"/>
    <x v="29"/>
    <n v="7"/>
    <n v="26.13"/>
    <x v="2"/>
    <n v="155.47"/>
    <n v="14.74"/>
    <n v="40.130000000000003"/>
    <x v="2"/>
  </r>
  <r>
    <s v="ORD-10324"/>
    <x v="704"/>
    <s v="Nadia Rodriguez"/>
    <x v="1"/>
    <x v="2"/>
    <x v="0"/>
    <x v="3"/>
    <x v="11"/>
    <n v="3"/>
    <n v="37.700000000000003"/>
    <x v="3"/>
    <n v="101.79"/>
    <n v="6.73"/>
    <n v="38.51"/>
    <x v="3"/>
  </r>
  <r>
    <s v="ORD-10849"/>
    <x v="704"/>
    <s v="Zara Miller"/>
    <x v="1"/>
    <x v="12"/>
    <x v="4"/>
    <x v="3"/>
    <x v="16"/>
    <n v="2"/>
    <n v="26.13"/>
    <x v="0"/>
    <n v="52.26"/>
    <n v="14.83"/>
    <n v="11.3"/>
    <x v="2"/>
  </r>
  <r>
    <s v="ORD-10039"/>
    <x v="705"/>
    <s v="Oscar Ali"/>
    <x v="0"/>
    <x v="14"/>
    <x v="1"/>
    <x v="2"/>
    <x v="8"/>
    <n v="1"/>
    <n v="125.15"/>
    <x v="1"/>
    <n v="100.12"/>
    <n v="8.65"/>
    <n v="16.38"/>
    <x v="2"/>
  </r>
  <r>
    <s v="ORD-10158"/>
    <x v="705"/>
    <s v="David Fischer"/>
    <x v="1"/>
    <x v="14"/>
    <x v="1"/>
    <x v="2"/>
    <x v="36"/>
    <n v="8"/>
    <n v="184.19"/>
    <x v="4"/>
    <n v="1399.84"/>
    <n v="12.28"/>
    <n v="503.45"/>
    <x v="0"/>
  </r>
  <r>
    <s v="ORD-10267"/>
    <x v="706"/>
    <s v="Barbara White"/>
    <x v="1"/>
    <x v="17"/>
    <x v="3"/>
    <x v="1"/>
    <x v="17"/>
    <n v="3"/>
    <n v="11.95"/>
    <x v="4"/>
    <n v="34.06"/>
    <n v="11.21"/>
    <n v="6.72"/>
    <x v="1"/>
  </r>
  <r>
    <s v="ORD-11873"/>
    <x v="706"/>
    <s v="Susan Garcia"/>
    <x v="0"/>
    <x v="12"/>
    <x v="4"/>
    <x v="1"/>
    <x v="17"/>
    <n v="1"/>
    <n v="6.93"/>
    <x v="3"/>
    <n v="6.24"/>
    <n v="12.29"/>
    <n v="-9.17"/>
    <x v="2"/>
  </r>
  <r>
    <s v="ORD-10692"/>
    <x v="707"/>
    <s v="Sakura Davis"/>
    <x v="1"/>
    <x v="13"/>
    <x v="0"/>
    <x v="1"/>
    <x v="6"/>
    <n v="1"/>
    <n v="10.73"/>
    <x v="4"/>
    <n v="10.19"/>
    <n v="6.83"/>
    <n v="-1.47"/>
    <x v="1"/>
  </r>
  <r>
    <s v="ORD-11014"/>
    <x v="707"/>
    <s v="Thomas Costa"/>
    <x v="0"/>
    <x v="13"/>
    <x v="0"/>
    <x v="3"/>
    <x v="9"/>
    <n v="2"/>
    <n v="51.67"/>
    <x v="3"/>
    <n v="93.01"/>
    <n v="7.45"/>
    <n v="33.89"/>
    <x v="1"/>
  </r>
  <r>
    <s v="ORD-11563"/>
    <x v="707"/>
    <s v="Oscar Martin"/>
    <x v="1"/>
    <x v="1"/>
    <x v="1"/>
    <x v="0"/>
    <x v="35"/>
    <n v="1"/>
    <n v="38.97"/>
    <x v="0"/>
    <n v="38.97"/>
    <n v="8.5500000000000007"/>
    <n v="8.99"/>
    <x v="1"/>
  </r>
  <r>
    <s v="ORD-10764"/>
    <x v="708"/>
    <s v="Susan Leroy"/>
    <x v="1"/>
    <x v="9"/>
    <x v="3"/>
    <x v="1"/>
    <x v="2"/>
    <n v="2"/>
    <n v="8.5"/>
    <x v="0"/>
    <n v="17"/>
    <n v="13.21"/>
    <n v="-3.86"/>
    <x v="2"/>
  </r>
  <r>
    <s v="ORD-11386"/>
    <x v="708"/>
    <s v="David Smith"/>
    <x v="0"/>
    <x v="0"/>
    <x v="0"/>
    <x v="3"/>
    <x v="13"/>
    <n v="1"/>
    <n v="79.180000000000007"/>
    <x v="2"/>
    <n v="67.3"/>
    <n v="6.58"/>
    <n v="21.13"/>
    <x v="0"/>
  </r>
  <r>
    <s v="ORD-11397"/>
    <x v="708"/>
    <s v="Thomas Zhang"/>
    <x v="2"/>
    <x v="9"/>
    <x v="3"/>
    <x v="3"/>
    <x v="16"/>
    <n v="4"/>
    <n v="40.98"/>
    <x v="3"/>
    <n v="147.53"/>
    <n v="16.39"/>
    <n v="49.18"/>
    <x v="3"/>
  </r>
  <r>
    <s v="ORD-11538"/>
    <x v="708"/>
    <s v="Pierre Fischer"/>
    <x v="1"/>
    <x v="14"/>
    <x v="1"/>
    <x v="3"/>
    <x v="37"/>
    <n v="2"/>
    <n v="43.41"/>
    <x v="0"/>
    <n v="86.82"/>
    <n v="8.7100000000000009"/>
    <n v="34.700000000000003"/>
    <x v="1"/>
  </r>
  <r>
    <s v="ORD-11978"/>
    <x v="708"/>
    <s v="Ingrid Davis"/>
    <x v="0"/>
    <x v="7"/>
    <x v="4"/>
    <x v="0"/>
    <x v="18"/>
    <n v="1"/>
    <n v="38.1"/>
    <x v="4"/>
    <n v="36.200000000000003"/>
    <n v="11.13"/>
    <n v="4.12"/>
    <x v="2"/>
  </r>
  <r>
    <s v="ORD-11989"/>
    <x v="708"/>
    <s v="Fatima Davis"/>
    <x v="1"/>
    <x v="6"/>
    <x v="2"/>
    <x v="3"/>
    <x v="26"/>
    <n v="4"/>
    <n v="14.92"/>
    <x v="4"/>
    <n v="56.7"/>
    <n v="15.14"/>
    <n v="11.72"/>
    <x v="1"/>
  </r>
  <r>
    <s v="ORD-11459"/>
    <x v="709"/>
    <s v="Lucas Brown"/>
    <x v="1"/>
    <x v="15"/>
    <x v="2"/>
    <x v="2"/>
    <x v="5"/>
    <n v="2"/>
    <n v="122.78"/>
    <x v="2"/>
    <n v="208.73"/>
    <n v="15.69"/>
    <n v="45.7"/>
    <x v="1"/>
  </r>
  <r>
    <s v="ORD-10789"/>
    <x v="710"/>
    <s v="Jamal Hassan"/>
    <x v="1"/>
    <x v="10"/>
    <x v="3"/>
    <x v="2"/>
    <x v="4"/>
    <n v="8"/>
    <n v="323.26"/>
    <x v="3"/>
    <n v="2327.4699999999998"/>
    <n v="15.77"/>
    <n v="760.05"/>
    <x v="2"/>
  </r>
  <r>
    <s v="ORD-11076"/>
    <x v="710"/>
    <s v="Jamal Pereira"/>
    <x v="0"/>
    <x v="9"/>
    <x v="3"/>
    <x v="1"/>
    <x v="23"/>
    <n v="9"/>
    <n v="18.45"/>
    <x v="2"/>
    <n v="141.13999999999999"/>
    <n v="31.4"/>
    <n v="35.020000000000003"/>
    <x v="1"/>
  </r>
  <r>
    <s v="ORD-11611"/>
    <x v="710"/>
    <s v="Olga Kim"/>
    <x v="0"/>
    <x v="12"/>
    <x v="4"/>
    <x v="1"/>
    <x v="38"/>
    <n v="2"/>
    <n v="5.41"/>
    <x v="3"/>
    <n v="9.74"/>
    <n v="11.11"/>
    <n v="-6.24"/>
    <x v="1"/>
  </r>
  <r>
    <s v="ORD-10470"/>
    <x v="711"/>
    <s v="Hans Khan"/>
    <x v="1"/>
    <x v="2"/>
    <x v="0"/>
    <x v="0"/>
    <x v="7"/>
    <n v="2"/>
    <n v="45.5"/>
    <x v="4"/>
    <n v="86.45"/>
    <n v="9.32"/>
    <n v="27.08"/>
    <x v="2"/>
  </r>
  <r>
    <s v="ORD-11729"/>
    <x v="711"/>
    <s v="Oscar Miller"/>
    <x v="2"/>
    <x v="15"/>
    <x v="2"/>
    <x v="0"/>
    <x v="0"/>
    <n v="6"/>
    <n v="105.75"/>
    <x v="0"/>
    <n v="634.5"/>
    <n v="19.059999999999999"/>
    <n v="266.45999999999998"/>
    <x v="0"/>
  </r>
  <r>
    <s v="ORD-11916"/>
    <x v="711"/>
    <s v="Barbara Weber"/>
    <x v="0"/>
    <x v="4"/>
    <x v="2"/>
    <x v="2"/>
    <x v="21"/>
    <n v="2"/>
    <n v="39.94"/>
    <x v="4"/>
    <n v="75.89"/>
    <n v="15.43"/>
    <n v="12.53"/>
    <x v="2"/>
  </r>
  <r>
    <s v="ORD-10328"/>
    <x v="712"/>
    <s v="Ivan Sharma"/>
    <x v="0"/>
    <x v="2"/>
    <x v="0"/>
    <x v="1"/>
    <x v="23"/>
    <n v="4"/>
    <n v="10.58"/>
    <x v="2"/>
    <n v="35.97"/>
    <n v="10.31"/>
    <n v="6.62"/>
    <x v="3"/>
  </r>
  <r>
    <s v="ORD-10583"/>
    <x v="712"/>
    <s v="Christopher Ahmed"/>
    <x v="0"/>
    <x v="0"/>
    <x v="0"/>
    <x v="3"/>
    <x v="30"/>
    <n v="1"/>
    <n v="17.940000000000001"/>
    <x v="3"/>
    <n v="16.149999999999999"/>
    <n v="7.16"/>
    <n v="0.02"/>
    <x v="1"/>
  </r>
  <r>
    <s v="ORD-10482"/>
    <x v="713"/>
    <s v="Hanna Nilsson"/>
    <x v="1"/>
    <x v="2"/>
    <x v="0"/>
    <x v="1"/>
    <x v="2"/>
    <n v="3"/>
    <n v="6.54"/>
    <x v="0"/>
    <n v="19.62"/>
    <n v="7.75"/>
    <n v="3.04"/>
    <x v="2"/>
  </r>
  <r>
    <s v="ORD-10685"/>
    <x v="713"/>
    <s v="William Zhang"/>
    <x v="1"/>
    <x v="18"/>
    <x v="4"/>
    <x v="1"/>
    <x v="20"/>
    <n v="3"/>
    <n v="12.72"/>
    <x v="6"/>
    <n v="28.62"/>
    <n v="16.829999999999998"/>
    <n v="-5.38"/>
    <x v="2"/>
  </r>
  <r>
    <s v="ORD-10946"/>
    <x v="713"/>
    <s v="Liam White"/>
    <x v="0"/>
    <x v="0"/>
    <x v="0"/>
    <x v="3"/>
    <x v="26"/>
    <n v="1"/>
    <n v="47.58"/>
    <x v="3"/>
    <n v="42.82"/>
    <n v="5.77"/>
    <n v="13.26"/>
    <x v="0"/>
  </r>
  <r>
    <s v="ORD-11954"/>
    <x v="713"/>
    <s v="Kenji Yamamoto"/>
    <x v="1"/>
    <x v="9"/>
    <x v="3"/>
    <x v="1"/>
    <x v="25"/>
    <n v="2"/>
    <n v="12.85"/>
    <x v="0"/>
    <n v="25.7"/>
    <n v="13.38"/>
    <n v="0.75"/>
    <x v="0"/>
  </r>
  <r>
    <s v="ORD-10492"/>
    <x v="714"/>
    <s v="Ingrid Clark"/>
    <x v="1"/>
    <x v="0"/>
    <x v="0"/>
    <x v="1"/>
    <x v="25"/>
    <n v="5"/>
    <n v="6.01"/>
    <x v="2"/>
    <n v="25.54"/>
    <n v="7.93"/>
    <n v="4.09"/>
    <x v="1"/>
  </r>
  <r>
    <s v="ORD-10851"/>
    <x v="714"/>
    <s v="Emma Martin"/>
    <x v="0"/>
    <x v="3"/>
    <x v="1"/>
    <x v="2"/>
    <x v="15"/>
    <n v="5"/>
    <n v="243.91"/>
    <x v="4"/>
    <n v="1158.57"/>
    <n v="17.690000000000001"/>
    <n v="409.15"/>
    <x v="1"/>
  </r>
  <r>
    <s v="ORD-11521"/>
    <x v="714"/>
    <s v="Michael Miller"/>
    <x v="0"/>
    <x v="15"/>
    <x v="2"/>
    <x v="1"/>
    <x v="19"/>
    <n v="7"/>
    <n v="7.22"/>
    <x v="3"/>
    <n v="45.49"/>
    <n v="24.79"/>
    <n v="-2.04"/>
    <x v="2"/>
  </r>
  <r>
    <s v="ORD-11571"/>
    <x v="714"/>
    <s v="Olivia Clark"/>
    <x v="0"/>
    <x v="11"/>
    <x v="2"/>
    <x v="2"/>
    <x v="32"/>
    <n v="1"/>
    <n v="46.37"/>
    <x v="0"/>
    <n v="46.37"/>
    <n v="12.69"/>
    <n v="5.86"/>
    <x v="3"/>
  </r>
  <r>
    <s v="ORD-11528"/>
    <x v="715"/>
    <s v="Noah Nilsson"/>
    <x v="1"/>
    <x v="0"/>
    <x v="0"/>
    <x v="2"/>
    <x v="5"/>
    <n v="2"/>
    <n v="133.22999999999999"/>
    <x v="4"/>
    <n v="253.14"/>
    <n v="6.33"/>
    <n v="86.93"/>
    <x v="3"/>
  </r>
  <r>
    <s v="ORD-10122"/>
    <x v="716"/>
    <s v="William Khan"/>
    <x v="0"/>
    <x v="1"/>
    <x v="1"/>
    <x v="0"/>
    <x v="35"/>
    <n v="1"/>
    <n v="37.58"/>
    <x v="1"/>
    <n v="30.06"/>
    <n v="8.2100000000000009"/>
    <n v="1.18"/>
    <x v="0"/>
  </r>
  <r>
    <s v="ORD-10612"/>
    <x v="716"/>
    <s v="Ingrid Romano"/>
    <x v="1"/>
    <x v="19"/>
    <x v="1"/>
    <x v="2"/>
    <x v="36"/>
    <n v="5"/>
    <n v="175.88"/>
    <x v="4"/>
    <n v="835.43"/>
    <n v="13.32"/>
    <n v="294.47000000000003"/>
    <x v="1"/>
  </r>
  <r>
    <s v="ORD-10163"/>
    <x v="717"/>
    <s v="Priya Brown"/>
    <x v="0"/>
    <x v="5"/>
    <x v="3"/>
    <x v="1"/>
    <x v="6"/>
    <n v="9"/>
    <n v="24.53"/>
    <x v="2"/>
    <n v="187.65"/>
    <n v="27.64"/>
    <n v="60.66"/>
    <x v="1"/>
  </r>
  <r>
    <s v="ORD-10406"/>
    <x v="717"/>
    <s v="Barbara Fischer"/>
    <x v="0"/>
    <x v="17"/>
    <x v="3"/>
    <x v="1"/>
    <x v="17"/>
    <n v="3"/>
    <n v="10.15"/>
    <x v="2"/>
    <n v="25.88"/>
    <n v="16.059999999999999"/>
    <n v="-3.88"/>
    <x v="2"/>
  </r>
  <r>
    <s v="ORD-10507"/>
    <x v="718"/>
    <s v="Patricia Kim"/>
    <x v="2"/>
    <x v="8"/>
    <x v="1"/>
    <x v="2"/>
    <x v="34"/>
    <n v="1"/>
    <n v="33.54"/>
    <x v="0"/>
    <n v="33.54"/>
    <n v="7.97"/>
    <n v="5.45"/>
    <x v="1"/>
  </r>
  <r>
    <s v="ORD-11235"/>
    <x v="719"/>
    <s v="Ayumi Zhang"/>
    <x v="1"/>
    <x v="16"/>
    <x v="3"/>
    <x v="2"/>
    <x v="4"/>
    <n v="4"/>
    <n v="213.39"/>
    <x v="4"/>
    <n v="810.88"/>
    <n v="18.510000000000002"/>
    <n v="280.23"/>
    <x v="1"/>
  </r>
  <r>
    <s v="ORD-10194"/>
    <x v="720"/>
    <s v="Patricia Zhang"/>
    <x v="0"/>
    <x v="2"/>
    <x v="0"/>
    <x v="2"/>
    <x v="39"/>
    <n v="5"/>
    <n v="114.98"/>
    <x v="1"/>
    <n v="459.92"/>
    <n v="8.1300000000000008"/>
    <n v="106.85"/>
    <x v="1"/>
  </r>
  <r>
    <s v="ORD-10206"/>
    <x v="720"/>
    <s v="Ava Oliveira"/>
    <x v="1"/>
    <x v="14"/>
    <x v="1"/>
    <x v="3"/>
    <x v="9"/>
    <n v="6"/>
    <n v="28.43"/>
    <x v="4"/>
    <n v="162.05000000000001"/>
    <n v="16.940000000000001"/>
    <n v="59.82"/>
    <x v="2"/>
  </r>
  <r>
    <s v="ORD-10209"/>
    <x v="720"/>
    <s v="Michael Yamamoto"/>
    <x v="0"/>
    <x v="5"/>
    <x v="3"/>
    <x v="1"/>
    <x v="25"/>
    <n v="3"/>
    <n v="5.01"/>
    <x v="0"/>
    <n v="15.03"/>
    <n v="11.86"/>
    <n v="-3.59"/>
    <x v="2"/>
  </r>
  <r>
    <s v="ORD-10762"/>
    <x v="720"/>
    <s v="Ava Yamamoto"/>
    <x v="1"/>
    <x v="13"/>
    <x v="0"/>
    <x v="1"/>
    <x v="17"/>
    <n v="1"/>
    <n v="9.93"/>
    <x v="4"/>
    <n v="9.43"/>
    <n v="5.79"/>
    <n v="-0.83"/>
    <x v="1"/>
  </r>
  <r>
    <s v="ORD-10390"/>
    <x v="721"/>
    <s v="Layla Chen"/>
    <x v="0"/>
    <x v="14"/>
    <x v="1"/>
    <x v="3"/>
    <x v="33"/>
    <n v="3"/>
    <n v="41.25"/>
    <x v="4"/>
    <n v="117.56"/>
    <n v="8.91"/>
    <n v="46.78"/>
    <x v="2"/>
  </r>
  <r>
    <s v="ORD-10534"/>
    <x v="721"/>
    <s v="Thomas Weber"/>
    <x v="2"/>
    <x v="15"/>
    <x v="2"/>
    <x v="0"/>
    <x v="22"/>
    <n v="5"/>
    <n v="115.16"/>
    <x v="4"/>
    <n v="547.01"/>
    <n v="16.63"/>
    <n v="213.69"/>
    <x v="0"/>
  </r>
  <r>
    <s v="ORD-11645"/>
    <x v="721"/>
    <s v="Wei Harris"/>
    <x v="0"/>
    <x v="16"/>
    <x v="3"/>
    <x v="2"/>
    <x v="34"/>
    <n v="9"/>
    <n v="54.27"/>
    <x v="4"/>
    <n v="464.01"/>
    <n v="21.91"/>
    <n v="149.04"/>
    <x v="2"/>
  </r>
  <r>
    <s v="ORD-11536"/>
    <x v="722"/>
    <s v="Linda Wang"/>
    <x v="1"/>
    <x v="19"/>
    <x v="1"/>
    <x v="0"/>
    <x v="22"/>
    <n v="1"/>
    <n v="100.53"/>
    <x v="3"/>
    <n v="90.48"/>
    <n v="9.2200000000000006"/>
    <n v="25.97"/>
    <x v="3"/>
  </r>
  <r>
    <s v="ORD-11725"/>
    <x v="722"/>
    <s v="Maria Yamamoto"/>
    <x v="1"/>
    <x v="16"/>
    <x v="3"/>
    <x v="0"/>
    <x v="35"/>
    <n v="6"/>
    <n v="37.44"/>
    <x v="4"/>
    <n v="213.41"/>
    <n v="15.54"/>
    <n v="74.319999999999993"/>
    <x v="1"/>
  </r>
  <r>
    <s v="ORD-10181"/>
    <x v="723"/>
    <s v="Lucas Kim"/>
    <x v="1"/>
    <x v="0"/>
    <x v="0"/>
    <x v="2"/>
    <x v="21"/>
    <n v="1"/>
    <n v="65.87"/>
    <x v="0"/>
    <n v="65.87"/>
    <n v="6.61"/>
    <n v="19.739999999999998"/>
    <x v="2"/>
  </r>
  <r>
    <s v="ORD-10423"/>
    <x v="723"/>
    <s v="Amina Tanaka"/>
    <x v="1"/>
    <x v="2"/>
    <x v="0"/>
    <x v="1"/>
    <x v="2"/>
    <n v="2"/>
    <n v="11.24"/>
    <x v="3"/>
    <n v="20.23"/>
    <n v="6.69"/>
    <n v="3.42"/>
    <x v="2"/>
  </r>
  <r>
    <s v="ORD-10784"/>
    <x v="723"/>
    <s v="Christopher Hassan"/>
    <x v="1"/>
    <x v="2"/>
    <x v="0"/>
    <x v="2"/>
    <x v="4"/>
    <n v="9"/>
    <n v="148.46"/>
    <x v="3"/>
    <n v="1202.53"/>
    <n v="26.88"/>
    <n v="373.97"/>
    <x v="0"/>
  </r>
  <r>
    <s v="ORD-11616"/>
    <x v="724"/>
    <s v="Sarah Hassan"/>
    <x v="0"/>
    <x v="2"/>
    <x v="0"/>
    <x v="1"/>
    <x v="38"/>
    <n v="2"/>
    <n v="10.07"/>
    <x v="2"/>
    <n v="17.12"/>
    <n v="6.12"/>
    <n v="1.94"/>
    <x v="1"/>
  </r>
  <r>
    <s v="ORD-10597"/>
    <x v="725"/>
    <s v="Thomas Brown"/>
    <x v="2"/>
    <x v="19"/>
    <x v="1"/>
    <x v="0"/>
    <x v="0"/>
    <n v="2"/>
    <n v="159.65"/>
    <x v="4"/>
    <n v="303.33"/>
    <n v="8.3800000000000008"/>
    <n v="119.33"/>
    <x v="3"/>
  </r>
  <r>
    <s v="ORD-10974"/>
    <x v="725"/>
    <s v="Chen Rossi"/>
    <x v="2"/>
    <x v="13"/>
    <x v="0"/>
    <x v="1"/>
    <x v="6"/>
    <n v="1"/>
    <n v="11.67"/>
    <x v="3"/>
    <n v="10.5"/>
    <n v="6.16"/>
    <n v="-0.91"/>
    <x v="1"/>
  </r>
  <r>
    <s v="ORD-11013"/>
    <x v="725"/>
    <s v="Nadia Martin"/>
    <x v="2"/>
    <x v="8"/>
    <x v="1"/>
    <x v="3"/>
    <x v="33"/>
    <n v="2"/>
    <n v="16.7"/>
    <x v="2"/>
    <n v="28.39"/>
    <n v="11.41"/>
    <n v="0.28000000000000003"/>
    <x v="0"/>
  </r>
  <r>
    <s v="ORD-11486"/>
    <x v="725"/>
    <s v="Sakura Davis"/>
    <x v="0"/>
    <x v="0"/>
    <x v="0"/>
    <x v="2"/>
    <x v="15"/>
    <n v="5"/>
    <n v="408.13"/>
    <x v="2"/>
    <n v="1734.55"/>
    <n v="8.1199999999999992"/>
    <n v="502.04"/>
    <x v="1"/>
  </r>
  <r>
    <s v="ORD-10622"/>
    <x v="726"/>
    <s v="Nadia Pereira"/>
    <x v="1"/>
    <x v="15"/>
    <x v="2"/>
    <x v="3"/>
    <x v="9"/>
    <n v="3"/>
    <n v="22.94"/>
    <x v="4"/>
    <n v="65.38"/>
    <n v="13.72"/>
    <n v="17.25"/>
    <x v="3"/>
  </r>
  <r>
    <s v="ORD-11736"/>
    <x v="726"/>
    <s v="Richard Rossi"/>
    <x v="1"/>
    <x v="13"/>
    <x v="0"/>
    <x v="2"/>
    <x v="39"/>
    <n v="6"/>
    <n v="112.24"/>
    <x v="3"/>
    <n v="606.1"/>
    <n v="15.24"/>
    <n v="186.8"/>
    <x v="2"/>
  </r>
  <r>
    <s v="ORD-11844"/>
    <x v="727"/>
    <s v="Linda Johnson"/>
    <x v="1"/>
    <x v="17"/>
    <x v="3"/>
    <x v="2"/>
    <x v="36"/>
    <n v="2"/>
    <n v="133.72"/>
    <x v="4"/>
    <n v="254.07"/>
    <n v="13.55"/>
    <n v="80.06"/>
    <x v="0"/>
  </r>
  <r>
    <s v="ORD-11985"/>
    <x v="727"/>
    <s v="Richard Leroy"/>
    <x v="0"/>
    <x v="9"/>
    <x v="3"/>
    <x v="0"/>
    <x v="1"/>
    <n v="4"/>
    <n v="132.13999999999999"/>
    <x v="6"/>
    <n v="396.42"/>
    <n v="16.649999999999999"/>
    <n v="89.06"/>
    <x v="2"/>
  </r>
  <r>
    <s v="ORD-10777"/>
    <x v="728"/>
    <s v="Carlos Ferrari"/>
    <x v="1"/>
    <x v="16"/>
    <x v="3"/>
    <x v="0"/>
    <x v="0"/>
    <n v="10"/>
    <n v="177.5"/>
    <x v="0"/>
    <n v="1775"/>
    <n v="15.06"/>
    <n v="783.69"/>
    <x v="1"/>
  </r>
  <r>
    <s v="ORD-11116"/>
    <x v="728"/>
    <s v="Mia Brown"/>
    <x v="1"/>
    <x v="7"/>
    <x v="4"/>
    <x v="0"/>
    <x v="22"/>
    <n v="3"/>
    <n v="91.93"/>
    <x v="4"/>
    <n v="262"/>
    <n v="17.100000000000001"/>
    <n v="93.22"/>
    <x v="0"/>
  </r>
  <r>
    <s v="ORD-10270"/>
    <x v="729"/>
    <s v="Ahmed Weber"/>
    <x v="0"/>
    <x v="5"/>
    <x v="3"/>
    <x v="1"/>
    <x v="2"/>
    <n v="3"/>
    <n v="9.7200000000000006"/>
    <x v="0"/>
    <n v="29.16"/>
    <n v="13.7"/>
    <n v="2.34"/>
    <x v="3"/>
  </r>
  <r>
    <s v="ORD-11392"/>
    <x v="729"/>
    <s v="Diego Li"/>
    <x v="1"/>
    <x v="8"/>
    <x v="1"/>
    <x v="0"/>
    <x v="7"/>
    <n v="1"/>
    <n v="52.67"/>
    <x v="4"/>
    <n v="50.04"/>
    <n v="8.6"/>
    <n v="12.47"/>
    <x v="1"/>
  </r>
  <r>
    <s v="ORD-11662"/>
    <x v="729"/>
    <s v="Jennifer Thompson"/>
    <x v="0"/>
    <x v="2"/>
    <x v="0"/>
    <x v="1"/>
    <x v="10"/>
    <n v="1"/>
    <n v="3.44"/>
    <x v="6"/>
    <n v="2.58"/>
    <n v="6.69"/>
    <n v="-5.66"/>
    <x v="1"/>
  </r>
  <r>
    <s v="ORD-11722"/>
    <x v="729"/>
    <s v="Michael Yamamoto"/>
    <x v="1"/>
    <x v="14"/>
    <x v="1"/>
    <x v="3"/>
    <x v="16"/>
    <n v="5"/>
    <n v="16.98"/>
    <x v="2"/>
    <n v="72.17"/>
    <n v="10.38"/>
    <n v="19.34"/>
    <x v="2"/>
  </r>
  <r>
    <s v="ORD-11050"/>
    <x v="730"/>
    <s v="Christopher Khan"/>
    <x v="2"/>
    <x v="8"/>
    <x v="1"/>
    <x v="1"/>
    <x v="2"/>
    <n v="4"/>
    <n v="6.96"/>
    <x v="2"/>
    <n v="23.66"/>
    <n v="14.15"/>
    <n v="-3.02"/>
    <x v="1"/>
  </r>
  <r>
    <s v="ORD-11800"/>
    <x v="730"/>
    <s v="Ethan Jones"/>
    <x v="1"/>
    <x v="15"/>
    <x v="2"/>
    <x v="3"/>
    <x v="33"/>
    <n v="2"/>
    <n v="49.74"/>
    <x v="0"/>
    <n v="99.48"/>
    <n v="14.2"/>
    <n v="35.54"/>
    <x v="1"/>
  </r>
  <r>
    <s v="ORD-10304"/>
    <x v="731"/>
    <s v="Li Pereira"/>
    <x v="0"/>
    <x v="6"/>
    <x v="2"/>
    <x v="1"/>
    <x v="25"/>
    <n v="1"/>
    <n v="14.71"/>
    <x v="3"/>
    <n v="13.24"/>
    <n v="12.16"/>
    <n v="-5.54"/>
    <x v="1"/>
  </r>
  <r>
    <s v="ORD-10428"/>
    <x v="731"/>
    <s v="Felix Patel"/>
    <x v="1"/>
    <x v="3"/>
    <x v="1"/>
    <x v="2"/>
    <x v="5"/>
    <n v="1"/>
    <n v="126.48"/>
    <x v="4"/>
    <n v="120.16"/>
    <n v="9.35"/>
    <n v="34.92"/>
    <x v="3"/>
  </r>
  <r>
    <s v="ORD-11134"/>
    <x v="731"/>
    <s v="Noah Chen"/>
    <x v="1"/>
    <x v="13"/>
    <x v="0"/>
    <x v="2"/>
    <x v="21"/>
    <n v="2"/>
    <n v="81.06"/>
    <x v="3"/>
    <n v="145.91"/>
    <n v="9.58"/>
    <n v="39.06"/>
    <x v="2"/>
  </r>
  <r>
    <s v="ORD-11313"/>
    <x v="732"/>
    <s v="Clara Moreau"/>
    <x v="0"/>
    <x v="0"/>
    <x v="0"/>
    <x v="0"/>
    <x v="22"/>
    <n v="1"/>
    <n v="95.57"/>
    <x v="5"/>
    <n v="66.900000000000006"/>
    <n v="6.55"/>
    <n v="7.79"/>
    <x v="2"/>
  </r>
  <r>
    <s v="ORD-11243"/>
    <x v="733"/>
    <s v="Isabella Russo"/>
    <x v="0"/>
    <x v="14"/>
    <x v="1"/>
    <x v="2"/>
    <x v="5"/>
    <n v="1"/>
    <n v="177.19"/>
    <x v="3"/>
    <n v="159.47"/>
    <n v="7.89"/>
    <n v="45.27"/>
    <x v="0"/>
  </r>
  <r>
    <s v="ORD-11097"/>
    <x v="734"/>
    <s v="Ivan Patel"/>
    <x v="2"/>
    <x v="10"/>
    <x v="3"/>
    <x v="2"/>
    <x v="4"/>
    <n v="1"/>
    <n v="134.93"/>
    <x v="2"/>
    <n v="114.69"/>
    <n v="11.49"/>
    <n v="22.24"/>
    <x v="1"/>
  </r>
  <r>
    <s v="ORD-11105"/>
    <x v="734"/>
    <s v="Diego Suzuki"/>
    <x v="0"/>
    <x v="18"/>
    <x v="4"/>
    <x v="0"/>
    <x v="1"/>
    <n v="8"/>
    <n v="84.99"/>
    <x v="4"/>
    <n v="645.91999999999996"/>
    <n v="16.53"/>
    <n v="255.43"/>
    <x v="1"/>
  </r>
  <r>
    <s v="ORD-11878"/>
    <x v="734"/>
    <s v="Sophie Chen"/>
    <x v="0"/>
    <x v="13"/>
    <x v="0"/>
    <x v="2"/>
    <x v="21"/>
    <n v="2"/>
    <n v="89.6"/>
    <x v="4"/>
    <n v="170.24"/>
    <n v="9.8800000000000008"/>
    <n v="52.84"/>
    <x v="3"/>
  </r>
  <r>
    <s v="ORD-10357"/>
    <x v="735"/>
    <s v="Robert Taylor"/>
    <x v="2"/>
    <x v="0"/>
    <x v="0"/>
    <x v="1"/>
    <x v="19"/>
    <n v="1"/>
    <n v="4.99"/>
    <x v="0"/>
    <n v="4.99"/>
    <n v="6.34"/>
    <n v="-3.6"/>
    <x v="3"/>
  </r>
  <r>
    <s v="ORD-11377"/>
    <x v="735"/>
    <s v="Giulia MÃ¼ller"/>
    <x v="0"/>
    <x v="9"/>
    <x v="3"/>
    <x v="0"/>
    <x v="35"/>
    <n v="2"/>
    <n v="24.99"/>
    <x v="4"/>
    <n v="47.48"/>
    <n v="10.52"/>
    <n v="9.4700000000000006"/>
    <x v="2"/>
  </r>
  <r>
    <s v="ORD-10617"/>
    <x v="736"/>
    <s v="Yuki Suzuki"/>
    <x v="0"/>
    <x v="5"/>
    <x v="3"/>
    <x v="2"/>
    <x v="21"/>
    <n v="1"/>
    <n v="32.11"/>
    <x v="1"/>
    <n v="25.69"/>
    <n v="10.11"/>
    <n v="-3.69"/>
    <x v="3"/>
  </r>
  <r>
    <s v="ORD-10797"/>
    <x v="737"/>
    <s v="Amina Taylor"/>
    <x v="2"/>
    <x v="15"/>
    <x v="2"/>
    <x v="3"/>
    <x v="11"/>
    <n v="1"/>
    <n v="39.86"/>
    <x v="0"/>
    <n v="39.86"/>
    <n v="11.78"/>
    <n v="8.15"/>
    <x v="3"/>
  </r>
  <r>
    <s v="ORD-10886"/>
    <x v="737"/>
    <s v="Ava Clark"/>
    <x v="1"/>
    <x v="8"/>
    <x v="1"/>
    <x v="3"/>
    <x v="9"/>
    <n v="4"/>
    <n v="44.68"/>
    <x v="3"/>
    <n v="160.85"/>
    <n v="12.79"/>
    <n v="58.7"/>
    <x v="1"/>
  </r>
  <r>
    <s v="ORD-11185"/>
    <x v="737"/>
    <s v="William Garcia"/>
    <x v="0"/>
    <x v="8"/>
    <x v="1"/>
    <x v="1"/>
    <x v="12"/>
    <n v="1"/>
    <n v="19.010000000000002"/>
    <x v="2"/>
    <n v="16.16"/>
    <n v="9.44"/>
    <n v="-1.83"/>
    <x v="1"/>
  </r>
  <r>
    <s v="ORD-11382"/>
    <x v="737"/>
    <s v="Ivan Santos"/>
    <x v="0"/>
    <x v="13"/>
    <x v="0"/>
    <x v="2"/>
    <x v="15"/>
    <n v="7"/>
    <n v="422.4"/>
    <x v="5"/>
    <n v="2069.7600000000002"/>
    <n v="15.51"/>
    <n v="280.17"/>
    <x v="2"/>
  </r>
  <r>
    <s v="ORD-10870"/>
    <x v="738"/>
    <s v="Emma Jones"/>
    <x v="2"/>
    <x v="2"/>
    <x v="0"/>
    <x v="2"/>
    <x v="14"/>
    <n v="3"/>
    <n v="227.94"/>
    <x v="0"/>
    <n v="683.82"/>
    <n v="9.86"/>
    <n v="263.67"/>
    <x v="1"/>
  </r>
  <r>
    <s v="ORD-10535"/>
    <x v="739"/>
    <s v="Liam Zhang"/>
    <x v="2"/>
    <x v="5"/>
    <x v="3"/>
    <x v="0"/>
    <x v="28"/>
    <n v="1"/>
    <n v="22.46"/>
    <x v="4"/>
    <n v="21.34"/>
    <n v="9.83"/>
    <n v="-0.84"/>
    <x v="2"/>
  </r>
  <r>
    <s v="ORD-10570"/>
    <x v="739"/>
    <s v="Felix Pereira"/>
    <x v="1"/>
    <x v="3"/>
    <x v="1"/>
    <x v="1"/>
    <x v="38"/>
    <n v="2"/>
    <n v="11.32"/>
    <x v="0"/>
    <n v="22.64"/>
    <n v="10.02"/>
    <n v="2.4300000000000002"/>
    <x v="2"/>
  </r>
  <r>
    <s v="ORD-11320"/>
    <x v="739"/>
    <s v="Sophie Chen"/>
    <x v="2"/>
    <x v="1"/>
    <x v="1"/>
    <x v="2"/>
    <x v="21"/>
    <n v="2"/>
    <n v="56.68"/>
    <x v="2"/>
    <n v="96.36"/>
    <n v="8.36"/>
    <n v="19.98"/>
    <x v="1"/>
  </r>
  <r>
    <s v="ORD-10735"/>
    <x v="740"/>
    <s v="Ali Yamamoto"/>
    <x v="1"/>
    <x v="5"/>
    <x v="3"/>
    <x v="2"/>
    <x v="8"/>
    <n v="2"/>
    <n v="125.68"/>
    <x v="3"/>
    <n v="226.22"/>
    <n v="12.02"/>
    <n v="63.38"/>
    <x v="1"/>
  </r>
  <r>
    <s v="ORD-10200"/>
    <x v="741"/>
    <s v="Lucas Moreau"/>
    <x v="2"/>
    <x v="2"/>
    <x v="0"/>
    <x v="2"/>
    <x v="36"/>
    <n v="6"/>
    <n v="111.51"/>
    <x v="2"/>
    <n v="568.70000000000005"/>
    <n v="11.57"/>
    <n v="155.69"/>
    <x v="0"/>
  </r>
  <r>
    <s v="ORD-10776"/>
    <x v="741"/>
    <s v="Karen Yamamoto"/>
    <x v="0"/>
    <x v="8"/>
    <x v="1"/>
    <x v="0"/>
    <x v="7"/>
    <n v="2"/>
    <n v="27.7"/>
    <x v="6"/>
    <n v="41.55"/>
    <n v="8.7799999999999994"/>
    <n v="2.2999999999999998"/>
    <x v="1"/>
  </r>
  <r>
    <s v="ORD-11022"/>
    <x v="741"/>
    <s v="Amina Anderson"/>
    <x v="0"/>
    <x v="17"/>
    <x v="3"/>
    <x v="1"/>
    <x v="20"/>
    <n v="1"/>
    <n v="12.26"/>
    <x v="3"/>
    <n v="11.03"/>
    <n v="10.84"/>
    <n v="-5.33"/>
    <x v="1"/>
  </r>
  <r>
    <s v="ORD-10033"/>
    <x v="742"/>
    <s v="Olga Johansson"/>
    <x v="0"/>
    <x v="10"/>
    <x v="3"/>
    <x v="2"/>
    <x v="39"/>
    <n v="5"/>
    <n v="166.9"/>
    <x v="6"/>
    <n v="625.88"/>
    <n v="18.86"/>
    <n v="106.32"/>
    <x v="2"/>
  </r>
  <r>
    <s v="ORD-11875"/>
    <x v="742"/>
    <s v="David Kumar"/>
    <x v="1"/>
    <x v="1"/>
    <x v="1"/>
    <x v="0"/>
    <x v="35"/>
    <n v="1"/>
    <n v="51.63"/>
    <x v="0"/>
    <n v="51.63"/>
    <n v="7.8"/>
    <n v="15.43"/>
    <x v="2"/>
  </r>
  <r>
    <s v="ORD-11958"/>
    <x v="742"/>
    <s v="Susan Harris"/>
    <x v="1"/>
    <x v="19"/>
    <x v="1"/>
    <x v="2"/>
    <x v="5"/>
    <n v="1"/>
    <n v="144.88999999999999"/>
    <x v="3"/>
    <n v="130.4"/>
    <n v="8.09"/>
    <n v="35.380000000000003"/>
    <x v="1"/>
  </r>
  <r>
    <s v="ORD-10564"/>
    <x v="743"/>
    <s v="Christopher Chen"/>
    <x v="1"/>
    <x v="16"/>
    <x v="3"/>
    <x v="1"/>
    <x v="2"/>
    <n v="7"/>
    <n v="13.53"/>
    <x v="0"/>
    <n v="94.71"/>
    <n v="20.02"/>
    <n v="32.07"/>
    <x v="1"/>
  </r>
  <r>
    <s v="ORD-10630"/>
    <x v="743"/>
    <s v="Carlos Jackson"/>
    <x v="0"/>
    <x v="6"/>
    <x v="2"/>
    <x v="1"/>
    <x v="12"/>
    <n v="4"/>
    <n v="18.899999999999999"/>
    <x v="1"/>
    <n v="60.48"/>
    <n v="16.12"/>
    <n v="10.34"/>
    <x v="1"/>
  </r>
  <r>
    <s v="ORD-10639"/>
    <x v="743"/>
    <s v="Hans Ferrari"/>
    <x v="2"/>
    <x v="14"/>
    <x v="1"/>
    <x v="1"/>
    <x v="25"/>
    <n v="1"/>
    <n v="16.309999999999999"/>
    <x v="0"/>
    <n v="16.309999999999999"/>
    <n v="8.77"/>
    <n v="0.2"/>
    <x v="1"/>
  </r>
  <r>
    <s v="ORD-11585"/>
    <x v="743"/>
    <s v="Clara Martinez"/>
    <x v="2"/>
    <x v="0"/>
    <x v="0"/>
    <x v="3"/>
    <x v="37"/>
    <n v="2"/>
    <n v="70.84"/>
    <x v="2"/>
    <n v="120.43"/>
    <n v="7.08"/>
    <n v="42.51"/>
    <x v="2"/>
  </r>
  <r>
    <s v="ORD-11963"/>
    <x v="743"/>
    <s v="Sarah Rossi"/>
    <x v="0"/>
    <x v="8"/>
    <x v="1"/>
    <x v="1"/>
    <x v="17"/>
    <n v="5"/>
    <n v="19.61"/>
    <x v="1"/>
    <n v="78.44"/>
    <n v="10.31"/>
    <n v="24.01"/>
    <x v="0"/>
  </r>
  <r>
    <s v="ORD-10522"/>
    <x v="744"/>
    <s v="Lucas Nilsson"/>
    <x v="0"/>
    <x v="14"/>
    <x v="1"/>
    <x v="2"/>
    <x v="36"/>
    <n v="8"/>
    <n v="284.77999999999997"/>
    <x v="4"/>
    <n v="2164.33"/>
    <n v="25.98"/>
    <n v="771.41"/>
    <x v="3"/>
  </r>
  <r>
    <s v="ORD-11032"/>
    <x v="744"/>
    <s v="Jamal Robinson"/>
    <x v="0"/>
    <x v="9"/>
    <x v="3"/>
    <x v="0"/>
    <x v="0"/>
    <n v="11"/>
    <n v="61.31"/>
    <x v="4"/>
    <n v="640.69000000000005"/>
    <n v="33.82"/>
    <n v="235.94"/>
    <x v="2"/>
  </r>
  <r>
    <s v="ORD-11425"/>
    <x v="744"/>
    <s v="Li Harris"/>
    <x v="1"/>
    <x v="2"/>
    <x v="0"/>
    <x v="0"/>
    <x v="29"/>
    <n v="3"/>
    <n v="22.6"/>
    <x v="3"/>
    <n v="61.02"/>
    <n v="6.51"/>
    <n v="17.22"/>
    <x v="1"/>
  </r>
  <r>
    <s v="ORD-11602"/>
    <x v="744"/>
    <s v="Chen Martin"/>
    <x v="1"/>
    <x v="3"/>
    <x v="1"/>
    <x v="1"/>
    <x v="17"/>
    <n v="4"/>
    <n v="7.06"/>
    <x v="0"/>
    <n v="28.24"/>
    <n v="13.62"/>
    <n v="1.91"/>
    <x v="0"/>
  </r>
  <r>
    <s v="ORD-11865"/>
    <x v="744"/>
    <s v="Olga Yamamoto"/>
    <x v="1"/>
    <x v="11"/>
    <x v="2"/>
    <x v="0"/>
    <x v="35"/>
    <n v="1"/>
    <n v="34.770000000000003"/>
    <x v="0"/>
    <n v="34.770000000000003"/>
    <n v="11.76"/>
    <n v="3.89"/>
    <x v="1"/>
  </r>
  <r>
    <s v="ORD-11907"/>
    <x v="744"/>
    <s v="Nadia Thomas"/>
    <x v="1"/>
    <x v="9"/>
    <x v="3"/>
    <x v="3"/>
    <x v="33"/>
    <n v="6"/>
    <n v="17.93"/>
    <x v="3"/>
    <n v="96.82"/>
    <n v="15.34"/>
    <n v="27.69"/>
    <x v="1"/>
  </r>
  <r>
    <s v="ORD-10232"/>
    <x v="745"/>
    <s v="Elizabeth Johnson"/>
    <x v="2"/>
    <x v="2"/>
    <x v="0"/>
    <x v="3"/>
    <x v="27"/>
    <n v="6"/>
    <n v="65.25"/>
    <x v="4"/>
    <n v="371.92"/>
    <n v="8.51"/>
    <n v="167.66"/>
    <x v="2"/>
  </r>
  <r>
    <s v="ORD-10829"/>
    <x v="745"/>
    <s v="Jennifer Ferrari"/>
    <x v="1"/>
    <x v="2"/>
    <x v="0"/>
    <x v="0"/>
    <x v="7"/>
    <n v="2"/>
    <n v="38.03"/>
    <x v="4"/>
    <n v="72.260000000000005"/>
    <n v="9.2899999999999991"/>
    <n v="21.14"/>
    <x v="2"/>
  </r>
  <r>
    <s v="ORD-10914"/>
    <x v="745"/>
    <s v="Patricia Jackson"/>
    <x v="0"/>
    <x v="1"/>
    <x v="1"/>
    <x v="3"/>
    <x v="33"/>
    <n v="3"/>
    <n v="53.91"/>
    <x v="0"/>
    <n v="161.72999999999999"/>
    <n v="12.12"/>
    <n v="68.739999999999995"/>
    <x v="1"/>
  </r>
  <r>
    <s v="ORD-10656"/>
    <x v="746"/>
    <s v="Emma Johnson"/>
    <x v="0"/>
    <x v="15"/>
    <x v="2"/>
    <x v="0"/>
    <x v="35"/>
    <n v="4"/>
    <n v="40.01"/>
    <x v="0"/>
    <n v="160.04"/>
    <n v="16.420000000000002"/>
    <n v="55.6"/>
    <x v="0"/>
  </r>
  <r>
    <s v="ORD-11872"/>
    <x v="746"/>
    <s v="Noah Tanaka"/>
    <x v="1"/>
    <x v="5"/>
    <x v="3"/>
    <x v="0"/>
    <x v="7"/>
    <n v="9"/>
    <n v="58.82"/>
    <x v="4"/>
    <n v="502.91"/>
    <n v="25.7"/>
    <n v="186.05"/>
    <x v="2"/>
  </r>
  <r>
    <s v="ORD-10834"/>
    <x v="747"/>
    <s v="Chen Khan"/>
    <x v="0"/>
    <x v="0"/>
    <x v="0"/>
    <x v="1"/>
    <x v="2"/>
    <n v="2"/>
    <n v="8.98"/>
    <x v="3"/>
    <n v="16.16"/>
    <n v="9.66"/>
    <n v="-1.58"/>
    <x v="2"/>
  </r>
  <r>
    <s v="ORD-11775"/>
    <x v="747"/>
    <s v="Ayumi Romano"/>
    <x v="1"/>
    <x v="2"/>
    <x v="0"/>
    <x v="2"/>
    <x v="34"/>
    <n v="3"/>
    <n v="29.12"/>
    <x v="0"/>
    <n v="87.36"/>
    <n v="11.41"/>
    <n v="23.53"/>
    <x v="0"/>
  </r>
  <r>
    <s v="ORD-10479"/>
    <x v="748"/>
    <s v="Joseph Clark"/>
    <x v="1"/>
    <x v="5"/>
    <x v="3"/>
    <x v="2"/>
    <x v="34"/>
    <n v="4"/>
    <n v="17.48"/>
    <x v="3"/>
    <n v="62.93"/>
    <n v="12.78"/>
    <n v="8.1999999999999993"/>
    <x v="0"/>
  </r>
  <r>
    <s v="ORD-10161"/>
    <x v="749"/>
    <s v="Robert Harris"/>
    <x v="1"/>
    <x v="0"/>
    <x v="0"/>
    <x v="1"/>
    <x v="6"/>
    <n v="1"/>
    <n v="12.16"/>
    <x v="4"/>
    <n v="11.55"/>
    <n v="6.58"/>
    <n v="-0.5"/>
    <x v="3"/>
  </r>
  <r>
    <s v="ORD-10596"/>
    <x v="749"/>
    <s v="Elizabeth Park"/>
    <x v="0"/>
    <x v="8"/>
    <x v="1"/>
    <x v="1"/>
    <x v="25"/>
    <n v="8"/>
    <n v="17.670000000000002"/>
    <x v="3"/>
    <n v="127.22"/>
    <n v="25.24"/>
    <n v="38.369999999999997"/>
    <x v="2"/>
  </r>
  <r>
    <s v="ORD-11574"/>
    <x v="749"/>
    <s v="Emma Kim"/>
    <x v="1"/>
    <x v="8"/>
    <x v="1"/>
    <x v="2"/>
    <x v="8"/>
    <n v="1"/>
    <n v="94.65"/>
    <x v="3"/>
    <n v="85.19"/>
    <n v="8.91"/>
    <n v="19.489999999999998"/>
    <x v="0"/>
  </r>
  <r>
    <s v="ORD-10859"/>
    <x v="750"/>
    <s v="Ayumi White"/>
    <x v="0"/>
    <x v="0"/>
    <x v="0"/>
    <x v="2"/>
    <x v="8"/>
    <n v="2"/>
    <n v="49.81"/>
    <x v="0"/>
    <n v="99.62"/>
    <n v="8.52"/>
    <n v="31.33"/>
    <x v="1"/>
  </r>
  <r>
    <s v="ORD-10285"/>
    <x v="751"/>
    <s v="Amir Yamamoto"/>
    <x v="2"/>
    <x v="13"/>
    <x v="0"/>
    <x v="0"/>
    <x v="35"/>
    <n v="1"/>
    <n v="42.35"/>
    <x v="4"/>
    <n v="40.229999999999997"/>
    <n v="6.81"/>
    <n v="10.130000000000001"/>
    <x v="1"/>
  </r>
  <r>
    <s v="ORD-10995"/>
    <x v="751"/>
    <s v="Olivia Schmidt"/>
    <x v="2"/>
    <x v="3"/>
    <x v="1"/>
    <x v="3"/>
    <x v="30"/>
    <n v="1"/>
    <n v="9.44"/>
    <x v="0"/>
    <n v="9.44"/>
    <n v="9.42"/>
    <n v="-4.7"/>
    <x v="2"/>
  </r>
  <r>
    <s v="ORD-11291"/>
    <x v="751"/>
    <s v="Mary Laurent"/>
    <x v="1"/>
    <x v="17"/>
    <x v="3"/>
    <x v="0"/>
    <x v="29"/>
    <n v="4"/>
    <n v="16.22"/>
    <x v="6"/>
    <n v="48.66"/>
    <n v="16.63"/>
    <n v="-3.65"/>
    <x v="2"/>
  </r>
  <r>
    <s v="ORD-11983"/>
    <x v="751"/>
    <s v="Clara Sharma"/>
    <x v="1"/>
    <x v="15"/>
    <x v="2"/>
    <x v="2"/>
    <x v="21"/>
    <n v="6"/>
    <n v="75.930000000000007"/>
    <x v="4"/>
    <n v="432.8"/>
    <n v="17.420000000000002"/>
    <n v="142.03"/>
    <x v="2"/>
  </r>
  <r>
    <s v="ORD-10553"/>
    <x v="752"/>
    <s v="Hanna Fischer"/>
    <x v="1"/>
    <x v="17"/>
    <x v="3"/>
    <x v="1"/>
    <x v="6"/>
    <n v="5"/>
    <n v="10.74"/>
    <x v="4"/>
    <n v="51.02"/>
    <n v="15.88"/>
    <n v="10.97"/>
    <x v="2"/>
  </r>
  <r>
    <s v="ORD-11640"/>
    <x v="752"/>
    <s v="Christopher Chen"/>
    <x v="1"/>
    <x v="9"/>
    <x v="3"/>
    <x v="3"/>
    <x v="26"/>
    <n v="3"/>
    <n v="13.01"/>
    <x v="0"/>
    <n v="39.03"/>
    <n v="14.95"/>
    <n v="4.57"/>
    <x v="2"/>
  </r>
  <r>
    <s v="ORD-10101"/>
    <x v="753"/>
    <s v="Elizabeth Taylor"/>
    <x v="2"/>
    <x v="10"/>
    <x v="3"/>
    <x v="1"/>
    <x v="23"/>
    <n v="12"/>
    <n v="15.36"/>
    <x v="4"/>
    <n v="175.1"/>
    <n v="38.299999999999997"/>
    <n v="53.86"/>
    <x v="1"/>
  </r>
  <r>
    <s v="ORD-11004"/>
    <x v="753"/>
    <s v="Marco Ferrari"/>
    <x v="1"/>
    <x v="9"/>
    <x v="3"/>
    <x v="0"/>
    <x v="1"/>
    <n v="1"/>
    <n v="59.17"/>
    <x v="0"/>
    <n v="59.17"/>
    <n v="11.08"/>
    <n v="15.55"/>
    <x v="1"/>
  </r>
  <r>
    <s v="ORD-11114"/>
    <x v="754"/>
    <s v="Sakura Kim"/>
    <x v="1"/>
    <x v="14"/>
    <x v="1"/>
    <x v="3"/>
    <x v="33"/>
    <n v="2"/>
    <n v="40.96"/>
    <x v="0"/>
    <n v="81.92"/>
    <n v="8.07"/>
    <n v="32.89"/>
    <x v="1"/>
  </r>
  <r>
    <s v="ORD-11388"/>
    <x v="755"/>
    <s v="Chen Ali"/>
    <x v="0"/>
    <x v="7"/>
    <x v="4"/>
    <x v="2"/>
    <x v="8"/>
    <n v="1"/>
    <n v="117.46"/>
    <x v="3"/>
    <n v="105.71"/>
    <n v="11.69"/>
    <n v="23.54"/>
    <x v="2"/>
  </r>
  <r>
    <s v="ORD-10526"/>
    <x v="756"/>
    <s v="Thomas Oliveira"/>
    <x v="0"/>
    <x v="19"/>
    <x v="1"/>
    <x v="2"/>
    <x v="5"/>
    <n v="4"/>
    <n v="96.5"/>
    <x v="1"/>
    <n v="308.8"/>
    <n v="15.4"/>
    <n v="61.8"/>
    <x v="1"/>
  </r>
  <r>
    <s v="ORD-10740"/>
    <x v="756"/>
    <s v="William Martinez"/>
    <x v="1"/>
    <x v="19"/>
    <x v="1"/>
    <x v="3"/>
    <x v="30"/>
    <n v="7"/>
    <n v="12.71"/>
    <x v="0"/>
    <n v="88.97"/>
    <n v="11.25"/>
    <n v="33.229999999999997"/>
    <x v="0"/>
  </r>
  <r>
    <s v="ORD-11305"/>
    <x v="756"/>
    <s v="Clara Martin"/>
    <x v="1"/>
    <x v="0"/>
    <x v="0"/>
    <x v="3"/>
    <x v="16"/>
    <n v="5"/>
    <n v="38.49"/>
    <x v="0"/>
    <n v="192.45"/>
    <n v="17.329999999999998"/>
    <n v="78.89"/>
    <x v="0"/>
  </r>
  <r>
    <s v="ORD-11937"/>
    <x v="756"/>
    <s v="Carlos Tanaka"/>
    <x v="0"/>
    <x v="19"/>
    <x v="1"/>
    <x v="2"/>
    <x v="14"/>
    <n v="5"/>
    <n v="431.91"/>
    <x v="4"/>
    <n v="2051.5700000000002"/>
    <n v="9.75"/>
    <n v="746.09"/>
    <x v="3"/>
  </r>
  <r>
    <s v="ORD-10959"/>
    <x v="757"/>
    <s v="Ethan Thomas"/>
    <x v="0"/>
    <x v="4"/>
    <x v="2"/>
    <x v="3"/>
    <x v="9"/>
    <n v="3"/>
    <n v="46.07"/>
    <x v="0"/>
    <n v="138.21"/>
    <n v="14.18"/>
    <n v="54.93"/>
    <x v="3"/>
  </r>
  <r>
    <s v="ORD-11527"/>
    <x v="757"/>
    <s v="Elizabeth Santos"/>
    <x v="1"/>
    <x v="14"/>
    <x v="1"/>
    <x v="3"/>
    <x v="9"/>
    <n v="2"/>
    <n v="15.72"/>
    <x v="3"/>
    <n v="28.3"/>
    <n v="9.1999999999999993"/>
    <n v="3.38"/>
    <x v="0"/>
  </r>
  <r>
    <s v="ORD-10192"/>
    <x v="758"/>
    <s v="Wei Laurent"/>
    <x v="1"/>
    <x v="3"/>
    <x v="1"/>
    <x v="2"/>
    <x v="32"/>
    <n v="4"/>
    <n v="27.46"/>
    <x v="0"/>
    <n v="109.84"/>
    <n v="11.74"/>
    <n v="32.200000000000003"/>
    <x v="1"/>
  </r>
  <r>
    <s v="ORD-10465"/>
    <x v="758"/>
    <s v="John Suzuki"/>
    <x v="0"/>
    <x v="8"/>
    <x v="1"/>
    <x v="2"/>
    <x v="4"/>
    <n v="1"/>
    <n v="239.62"/>
    <x v="2"/>
    <n v="203.68"/>
    <n v="9.4"/>
    <n v="50.51"/>
    <x v="1"/>
  </r>
  <r>
    <s v="ORD-10782"/>
    <x v="758"/>
    <s v="Christopher Park"/>
    <x v="1"/>
    <x v="19"/>
    <x v="1"/>
    <x v="2"/>
    <x v="34"/>
    <n v="2"/>
    <n v="59.54"/>
    <x v="4"/>
    <n v="113.13"/>
    <n v="9.4600000000000009"/>
    <n v="32.22"/>
    <x v="1"/>
  </r>
  <r>
    <s v="ORD-11016"/>
    <x v="758"/>
    <s v="Layla Jackson"/>
    <x v="1"/>
    <x v="1"/>
    <x v="1"/>
    <x v="2"/>
    <x v="8"/>
    <n v="1"/>
    <n v="77.09"/>
    <x v="4"/>
    <n v="73.239999999999995"/>
    <n v="9.2799999999999994"/>
    <n v="17.71"/>
    <x v="2"/>
  </r>
  <r>
    <s v="ORD-11150"/>
    <x v="759"/>
    <s v="Emma Sharma"/>
    <x v="1"/>
    <x v="11"/>
    <x v="2"/>
    <x v="0"/>
    <x v="29"/>
    <n v="12"/>
    <n v="29.22"/>
    <x v="1"/>
    <n v="280.51"/>
    <n v="32.57"/>
    <n v="55.09"/>
    <x v="2"/>
  </r>
  <r>
    <s v="ORD-11213"/>
    <x v="759"/>
    <s v="David Nilsson"/>
    <x v="1"/>
    <x v="9"/>
    <x v="3"/>
    <x v="3"/>
    <x v="11"/>
    <n v="2"/>
    <n v="94.59"/>
    <x v="3"/>
    <n v="170.26"/>
    <n v="12.29"/>
    <n v="63.38"/>
    <x v="0"/>
  </r>
  <r>
    <s v="ORD-11630"/>
    <x v="759"/>
    <s v="Giulia Russo"/>
    <x v="0"/>
    <x v="9"/>
    <x v="3"/>
    <x v="1"/>
    <x v="12"/>
    <n v="2"/>
    <n v="22.61"/>
    <x v="1"/>
    <n v="36.18"/>
    <n v="11.67"/>
    <n v="4.16"/>
    <x v="2"/>
  </r>
  <r>
    <s v="ORD-10089"/>
    <x v="760"/>
    <s v="Li Suzuki"/>
    <x v="1"/>
    <x v="13"/>
    <x v="0"/>
    <x v="2"/>
    <x v="4"/>
    <n v="2"/>
    <n v="178.14"/>
    <x v="0"/>
    <n v="356.28"/>
    <n v="9.81"/>
    <n v="132.69999999999999"/>
    <x v="2"/>
  </r>
  <r>
    <s v="ORD-10598"/>
    <x v="760"/>
    <s v="Ingrid Pereira"/>
    <x v="0"/>
    <x v="9"/>
    <x v="3"/>
    <x v="2"/>
    <x v="36"/>
    <n v="4"/>
    <n v="274.79000000000002"/>
    <x v="4"/>
    <n v="1044.2"/>
    <n v="18.5"/>
    <n v="366.2"/>
    <x v="3"/>
  </r>
  <r>
    <s v="ORD-10094"/>
    <x v="761"/>
    <s v="Patricia Garcia"/>
    <x v="0"/>
    <x v="13"/>
    <x v="0"/>
    <x v="2"/>
    <x v="34"/>
    <n v="2"/>
    <n v="29.02"/>
    <x v="6"/>
    <n v="43.53"/>
    <n v="8.3800000000000008"/>
    <n v="0.33"/>
    <x v="0"/>
  </r>
  <r>
    <s v="ORD-11072"/>
    <x v="761"/>
    <s v="Oscar Chen"/>
    <x v="0"/>
    <x v="2"/>
    <x v="0"/>
    <x v="0"/>
    <x v="1"/>
    <n v="7"/>
    <n v="143.11000000000001"/>
    <x v="6"/>
    <n v="751.33"/>
    <n v="19.7"/>
    <n v="180.66"/>
    <x v="2"/>
  </r>
  <r>
    <s v="ORD-10603"/>
    <x v="762"/>
    <s v="Noah Russo"/>
    <x v="1"/>
    <x v="8"/>
    <x v="1"/>
    <x v="3"/>
    <x v="13"/>
    <n v="8"/>
    <n v="94.55"/>
    <x v="3"/>
    <n v="680.76"/>
    <n v="22.09"/>
    <n v="280.47000000000003"/>
    <x v="2"/>
  </r>
  <r>
    <s v="ORD-10875"/>
    <x v="762"/>
    <s v="Patricia Pereira"/>
    <x v="0"/>
    <x v="1"/>
    <x v="1"/>
    <x v="2"/>
    <x v="14"/>
    <n v="4"/>
    <n v="367.48"/>
    <x v="3"/>
    <n v="1322.93"/>
    <n v="9.83"/>
    <n v="431.15"/>
    <x v="1"/>
  </r>
  <r>
    <s v="ORD-11516"/>
    <x v="762"/>
    <s v="Michael Ahmed"/>
    <x v="1"/>
    <x v="13"/>
    <x v="0"/>
    <x v="2"/>
    <x v="14"/>
    <n v="2"/>
    <n v="196.01"/>
    <x v="0"/>
    <n v="392.02"/>
    <n v="9.09"/>
    <n v="147.72"/>
    <x v="1"/>
  </r>
  <r>
    <s v="ORD-11854"/>
    <x v="762"/>
    <s v="Richard Sharma"/>
    <x v="1"/>
    <x v="3"/>
    <x v="1"/>
    <x v="0"/>
    <x v="28"/>
    <n v="1"/>
    <n v="44.78"/>
    <x v="3"/>
    <n v="40.299999999999997"/>
    <n v="8.85"/>
    <n v="6.82"/>
    <x v="0"/>
  </r>
  <r>
    <s v="ORD-10205"/>
    <x v="763"/>
    <s v="Clara Dubois"/>
    <x v="0"/>
    <x v="17"/>
    <x v="3"/>
    <x v="3"/>
    <x v="16"/>
    <n v="7"/>
    <n v="41.19"/>
    <x v="1"/>
    <n v="230.66"/>
    <n v="13.8"/>
    <n v="72.7"/>
    <x v="0"/>
  </r>
  <r>
    <s v="ORD-10334"/>
    <x v="763"/>
    <s v="Ethan Santos"/>
    <x v="1"/>
    <x v="5"/>
    <x v="3"/>
    <x v="3"/>
    <x v="11"/>
    <n v="1"/>
    <n v="30.37"/>
    <x v="4"/>
    <n v="28.85"/>
    <n v="10.62"/>
    <n v="3.05"/>
    <x v="2"/>
  </r>
  <r>
    <s v="ORD-10895"/>
    <x v="763"/>
    <s v="Mary Anderson"/>
    <x v="1"/>
    <x v="10"/>
    <x v="3"/>
    <x v="0"/>
    <x v="18"/>
    <n v="1"/>
    <n v="46.12"/>
    <x v="4"/>
    <n v="43.81"/>
    <n v="10.98"/>
    <n v="7.46"/>
    <x v="1"/>
  </r>
  <r>
    <s v="ORD-11012"/>
    <x v="763"/>
    <s v="Diego Russo"/>
    <x v="1"/>
    <x v="7"/>
    <x v="4"/>
    <x v="2"/>
    <x v="5"/>
    <n v="7"/>
    <n v="123.59"/>
    <x v="0"/>
    <n v="865.13"/>
    <n v="17.52"/>
    <n v="328.53"/>
    <x v="3"/>
  </r>
  <r>
    <s v="ORD-11063"/>
    <x v="764"/>
    <s v="Jamal Taylor"/>
    <x v="1"/>
    <x v="0"/>
    <x v="0"/>
    <x v="3"/>
    <x v="11"/>
    <n v="2"/>
    <n v="85.59"/>
    <x v="0"/>
    <n v="171.18"/>
    <n v="8.25"/>
    <n v="77.34"/>
    <x v="1"/>
  </r>
  <r>
    <s v="ORD-10036"/>
    <x v="765"/>
    <s v="Xiao Brown"/>
    <x v="0"/>
    <x v="18"/>
    <x v="4"/>
    <x v="0"/>
    <x v="35"/>
    <n v="12"/>
    <n v="53.38"/>
    <x v="3"/>
    <n v="576.5"/>
    <n v="38.799999999999997"/>
    <n v="185.39"/>
    <x v="0"/>
  </r>
  <r>
    <s v="ORD-10280"/>
    <x v="765"/>
    <s v="Mia Santos"/>
    <x v="1"/>
    <x v="13"/>
    <x v="0"/>
    <x v="0"/>
    <x v="18"/>
    <n v="3"/>
    <n v="59.5"/>
    <x v="4"/>
    <n v="169.57"/>
    <n v="11.82"/>
    <n v="59.57"/>
    <x v="1"/>
  </r>
  <r>
    <s v="ORD-11214"/>
    <x v="765"/>
    <s v="Hanna Park"/>
    <x v="0"/>
    <x v="15"/>
    <x v="2"/>
    <x v="0"/>
    <x v="31"/>
    <n v="3"/>
    <n v="87.29"/>
    <x v="3"/>
    <n v="235.68"/>
    <n v="14.8"/>
    <n v="76.849999999999994"/>
    <x v="0"/>
  </r>
  <r>
    <s v="ORD-10065"/>
    <x v="766"/>
    <s v="Raj Sato"/>
    <x v="2"/>
    <x v="18"/>
    <x v="4"/>
    <x v="1"/>
    <x v="2"/>
    <n v="3"/>
    <n v="7.1"/>
    <x v="3"/>
    <n v="19.170000000000002"/>
    <n v="12.32"/>
    <n v="-2.73"/>
    <x v="1"/>
  </r>
  <r>
    <s v="ORD-10934"/>
    <x v="766"/>
    <s v="Clara Brown"/>
    <x v="2"/>
    <x v="14"/>
    <x v="1"/>
    <x v="1"/>
    <x v="6"/>
    <n v="1"/>
    <n v="21.92"/>
    <x v="3"/>
    <n v="19.73"/>
    <n v="8.01"/>
    <n v="1.86"/>
    <x v="3"/>
  </r>
  <r>
    <s v="ORD-11400"/>
    <x v="766"/>
    <s v="Linda Hassan"/>
    <x v="0"/>
    <x v="10"/>
    <x v="3"/>
    <x v="2"/>
    <x v="36"/>
    <n v="1"/>
    <n v="279.64999999999998"/>
    <x v="3"/>
    <n v="251.68"/>
    <n v="9.76"/>
    <n v="74.13"/>
    <x v="1"/>
  </r>
  <r>
    <s v="ORD-10115"/>
    <x v="767"/>
    <s v="Ali Harris"/>
    <x v="1"/>
    <x v="13"/>
    <x v="0"/>
    <x v="0"/>
    <x v="35"/>
    <n v="1"/>
    <n v="49.84"/>
    <x v="4"/>
    <n v="47.35"/>
    <n v="5.98"/>
    <n v="13.96"/>
    <x v="1"/>
  </r>
  <r>
    <s v="ORD-11977"/>
    <x v="767"/>
    <s v="Li Smith"/>
    <x v="1"/>
    <x v="9"/>
    <x v="3"/>
    <x v="2"/>
    <x v="4"/>
    <n v="1"/>
    <n v="271.05"/>
    <x v="3"/>
    <n v="243.95"/>
    <n v="10.25"/>
    <n v="71.069999999999993"/>
    <x v="1"/>
  </r>
  <r>
    <s v="ORD-10683"/>
    <x v="768"/>
    <s v="Mia Wang"/>
    <x v="0"/>
    <x v="10"/>
    <x v="3"/>
    <x v="0"/>
    <x v="3"/>
    <n v="3"/>
    <n v="77.91"/>
    <x v="4"/>
    <n v="222.04"/>
    <n v="13.07"/>
    <n v="80.42"/>
    <x v="0"/>
  </r>
  <r>
    <s v="ORD-10913"/>
    <x v="768"/>
    <s v="Nadia Leroy"/>
    <x v="0"/>
    <x v="0"/>
    <x v="0"/>
    <x v="2"/>
    <x v="39"/>
    <n v="9"/>
    <n v="109.79"/>
    <x v="6"/>
    <n v="741.08"/>
    <n v="15.31"/>
    <n v="132.9"/>
    <x v="1"/>
  </r>
  <r>
    <s v="ORD-11241"/>
    <x v="768"/>
    <s v="William Robinson"/>
    <x v="1"/>
    <x v="16"/>
    <x v="3"/>
    <x v="3"/>
    <x v="13"/>
    <n v="2"/>
    <n v="116.48"/>
    <x v="4"/>
    <n v="221.31"/>
    <n v="10.72"/>
    <n v="94.11"/>
    <x v="0"/>
  </r>
  <r>
    <s v="ORD-11525"/>
    <x v="768"/>
    <s v="Omar Russo"/>
    <x v="0"/>
    <x v="7"/>
    <x v="4"/>
    <x v="1"/>
    <x v="38"/>
    <n v="8"/>
    <n v="5.71"/>
    <x v="3"/>
    <n v="41.11"/>
    <n v="26.4"/>
    <n v="-5.85"/>
    <x v="2"/>
  </r>
  <r>
    <s v="ORD-11923"/>
    <x v="768"/>
    <s v="Omar Park"/>
    <x v="1"/>
    <x v="17"/>
    <x v="3"/>
    <x v="3"/>
    <x v="16"/>
    <n v="1"/>
    <n v="56.01"/>
    <x v="6"/>
    <n v="42.01"/>
    <n v="11.23"/>
    <n v="2.77"/>
    <x v="1"/>
  </r>
  <r>
    <s v="ORD-10226"/>
    <x v="769"/>
    <s v="Jennifer White"/>
    <x v="2"/>
    <x v="19"/>
    <x v="1"/>
    <x v="3"/>
    <x v="27"/>
    <n v="3"/>
    <n v="49.04"/>
    <x v="3"/>
    <n v="132.41"/>
    <n v="10.87"/>
    <n v="47.98"/>
    <x v="2"/>
  </r>
  <r>
    <s v="ORD-10477"/>
    <x v="769"/>
    <s v="Jessica Johnson"/>
    <x v="1"/>
    <x v="14"/>
    <x v="1"/>
    <x v="3"/>
    <x v="33"/>
    <n v="5"/>
    <n v="15.17"/>
    <x v="6"/>
    <n v="56.89"/>
    <n v="12.81"/>
    <n v="6.16"/>
    <x v="3"/>
  </r>
  <r>
    <s v="ORD-10746"/>
    <x v="770"/>
    <s v="Ivan Laurent"/>
    <x v="2"/>
    <x v="14"/>
    <x v="1"/>
    <x v="2"/>
    <x v="5"/>
    <n v="1"/>
    <n v="137.38999999999999"/>
    <x v="4"/>
    <n v="130.52000000000001"/>
    <n v="8.07"/>
    <n v="40.020000000000003"/>
    <x v="2"/>
  </r>
  <r>
    <s v="ORD-11095"/>
    <x v="771"/>
    <s v="Mia Harris"/>
    <x v="1"/>
    <x v="16"/>
    <x v="3"/>
    <x v="2"/>
    <x v="5"/>
    <n v="1"/>
    <n v="95.66"/>
    <x v="0"/>
    <n v="95.66"/>
    <n v="10.25"/>
    <n v="28.01"/>
    <x v="2"/>
  </r>
  <r>
    <s v="ORD-11838"/>
    <x v="771"/>
    <s v="Barbara Robinson"/>
    <x v="1"/>
    <x v="2"/>
    <x v="0"/>
    <x v="3"/>
    <x v="24"/>
    <n v="8"/>
    <n v="45.61"/>
    <x v="1"/>
    <n v="291.89999999999998"/>
    <n v="10.199999999999999"/>
    <n v="99.26"/>
    <x v="0"/>
  </r>
  <r>
    <s v="ORD-11118"/>
    <x v="772"/>
    <s v="Mia Johnson"/>
    <x v="1"/>
    <x v="1"/>
    <x v="1"/>
    <x v="2"/>
    <x v="34"/>
    <n v="1"/>
    <n v="27.82"/>
    <x v="4"/>
    <n v="26.43"/>
    <n v="7.75"/>
    <n v="1.99"/>
    <x v="2"/>
  </r>
  <r>
    <s v="ORD-11439"/>
    <x v="772"/>
    <s v="Maria Rodriguez"/>
    <x v="1"/>
    <x v="8"/>
    <x v="1"/>
    <x v="3"/>
    <x v="11"/>
    <n v="3"/>
    <n v="107.11"/>
    <x v="4"/>
    <n v="305.26"/>
    <n v="11.77"/>
    <n v="132.82"/>
    <x v="1"/>
  </r>
  <r>
    <s v="ORD-10770"/>
    <x v="773"/>
    <s v="Amir Thompson"/>
    <x v="0"/>
    <x v="7"/>
    <x v="4"/>
    <x v="0"/>
    <x v="3"/>
    <n v="5"/>
    <n v="81.709999999999994"/>
    <x v="1"/>
    <n v="326.83999999999997"/>
    <n v="22.16"/>
    <n v="79.98"/>
    <x v="2"/>
  </r>
  <r>
    <s v="ORD-11176"/>
    <x v="773"/>
    <s v="Carlos Thomas"/>
    <x v="2"/>
    <x v="13"/>
    <x v="0"/>
    <x v="0"/>
    <x v="35"/>
    <n v="1"/>
    <n v="31.28"/>
    <x v="0"/>
    <n v="31.28"/>
    <n v="7.32"/>
    <n v="6.76"/>
    <x v="1"/>
  </r>
  <r>
    <s v="ORD-10310"/>
    <x v="774"/>
    <s v="Michael Oliveira"/>
    <x v="0"/>
    <x v="7"/>
    <x v="4"/>
    <x v="1"/>
    <x v="25"/>
    <n v="1"/>
    <n v="8.7799999999999994"/>
    <x v="0"/>
    <n v="8.7799999999999994"/>
    <n v="11.95"/>
    <n v="-7.12"/>
    <x v="2"/>
  </r>
  <r>
    <s v="ORD-10397"/>
    <x v="774"/>
    <s v="Yuki Robinson"/>
    <x v="1"/>
    <x v="15"/>
    <x v="2"/>
    <x v="0"/>
    <x v="22"/>
    <n v="1"/>
    <n v="115.18"/>
    <x v="4"/>
    <n v="109.42"/>
    <n v="11.78"/>
    <n v="34.29"/>
    <x v="3"/>
  </r>
  <r>
    <s v="ORD-11289"/>
    <x v="775"/>
    <s v="Sophie Martin"/>
    <x v="1"/>
    <x v="13"/>
    <x v="0"/>
    <x v="2"/>
    <x v="4"/>
    <n v="1"/>
    <n v="111.03"/>
    <x v="0"/>
    <n v="111.03"/>
    <n v="7.07"/>
    <n v="37.340000000000003"/>
    <x v="1"/>
  </r>
  <r>
    <s v="ORD-10627"/>
    <x v="776"/>
    <s v="Oscar MÃ¼ller"/>
    <x v="1"/>
    <x v="0"/>
    <x v="0"/>
    <x v="0"/>
    <x v="35"/>
    <n v="5"/>
    <n v="39.06"/>
    <x v="2"/>
    <n v="166"/>
    <n v="11.47"/>
    <n v="47.11"/>
    <x v="1"/>
  </r>
  <r>
    <s v="ORD-10410"/>
    <x v="777"/>
    <s v="Karen Patel"/>
    <x v="1"/>
    <x v="15"/>
    <x v="2"/>
    <x v="1"/>
    <x v="2"/>
    <n v="1"/>
    <n v="15.21"/>
    <x v="4"/>
    <n v="14.45"/>
    <n v="12.63"/>
    <n v="-5.0199999999999996"/>
    <x v="2"/>
  </r>
  <r>
    <s v="ORD-11465"/>
    <x v="777"/>
    <s v="Kenji Santos"/>
    <x v="2"/>
    <x v="19"/>
    <x v="1"/>
    <x v="1"/>
    <x v="25"/>
    <n v="3"/>
    <n v="15.81"/>
    <x v="3"/>
    <n v="42.69"/>
    <n v="11.47"/>
    <n v="9.8800000000000008"/>
    <x v="3"/>
  </r>
  <r>
    <s v="ORD-11264"/>
    <x v="778"/>
    <s v="Sophie Sato"/>
    <x v="1"/>
    <x v="2"/>
    <x v="0"/>
    <x v="2"/>
    <x v="21"/>
    <n v="3"/>
    <n v="41.55"/>
    <x v="4"/>
    <n v="118.42"/>
    <n v="7.02"/>
    <n v="36.61"/>
    <x v="2"/>
  </r>
  <r>
    <s v="ORD-11619"/>
    <x v="778"/>
    <s v="Emma Sato"/>
    <x v="1"/>
    <x v="16"/>
    <x v="3"/>
    <x v="2"/>
    <x v="34"/>
    <n v="1"/>
    <n v="30.49"/>
    <x v="2"/>
    <n v="25.92"/>
    <n v="10.67"/>
    <n v="-3.04"/>
    <x v="0"/>
  </r>
  <r>
    <s v="ORD-10670"/>
    <x v="779"/>
    <s v="Carlos Sharma"/>
    <x v="0"/>
    <x v="9"/>
    <x v="3"/>
    <x v="3"/>
    <x v="37"/>
    <n v="4"/>
    <n v="35.06"/>
    <x v="3"/>
    <n v="126.22"/>
    <n v="11.96"/>
    <n v="44.14"/>
    <x v="1"/>
  </r>
  <r>
    <s v="ORD-10118"/>
    <x v="780"/>
    <s v="Noah Rodriguez"/>
    <x v="1"/>
    <x v="14"/>
    <x v="1"/>
    <x v="3"/>
    <x v="9"/>
    <n v="6"/>
    <n v="46.59"/>
    <x v="0"/>
    <n v="279.54000000000002"/>
    <n v="19.309999999999999"/>
    <n v="120.46"/>
    <x v="2"/>
  </r>
  <r>
    <s v="ORD-11621"/>
    <x v="780"/>
    <s v="Carlos Sharma"/>
    <x v="1"/>
    <x v="0"/>
    <x v="0"/>
    <x v="3"/>
    <x v="9"/>
    <n v="1"/>
    <n v="36.299999999999997"/>
    <x v="4"/>
    <n v="34.479999999999997"/>
    <n v="6.35"/>
    <n v="9.98"/>
    <x v="1"/>
  </r>
  <r>
    <s v="ORD-10985"/>
    <x v="781"/>
    <s v="Ethan Wang"/>
    <x v="0"/>
    <x v="18"/>
    <x v="4"/>
    <x v="0"/>
    <x v="0"/>
    <n v="2"/>
    <n v="139.35"/>
    <x v="3"/>
    <n v="250.83"/>
    <n v="11.26"/>
    <n v="86.29"/>
    <x v="0"/>
  </r>
  <r>
    <s v="ORD-11180"/>
    <x v="781"/>
    <s v="Robert Thomas"/>
    <x v="1"/>
    <x v="1"/>
    <x v="1"/>
    <x v="3"/>
    <x v="11"/>
    <n v="4"/>
    <n v="39.229999999999997"/>
    <x v="1"/>
    <n v="125.54"/>
    <n v="10.84"/>
    <n v="36.24"/>
    <x v="3"/>
  </r>
  <r>
    <s v="ORD-10763"/>
    <x v="782"/>
    <s v="Mary Khan"/>
    <x v="0"/>
    <x v="5"/>
    <x v="3"/>
    <x v="1"/>
    <x v="17"/>
    <n v="3"/>
    <n v="20.38"/>
    <x v="3"/>
    <n v="55.03"/>
    <n v="14.11"/>
    <n v="13.41"/>
    <x v="2"/>
  </r>
  <r>
    <s v="ORD-11112"/>
    <x v="783"/>
    <s v="Felix Leroy"/>
    <x v="0"/>
    <x v="1"/>
    <x v="1"/>
    <x v="3"/>
    <x v="30"/>
    <n v="4"/>
    <n v="15.79"/>
    <x v="2"/>
    <n v="53.69"/>
    <n v="14.99"/>
    <n v="7.12"/>
    <x v="3"/>
  </r>
  <r>
    <s v="ORD-10369"/>
    <x v="784"/>
    <s v="Wei Sharma"/>
    <x v="1"/>
    <x v="11"/>
    <x v="2"/>
    <x v="3"/>
    <x v="13"/>
    <n v="5"/>
    <n v="79.7"/>
    <x v="2"/>
    <n v="338.72"/>
    <n v="21.72"/>
    <n v="117.75"/>
    <x v="3"/>
  </r>
  <r>
    <s v="ORD-10800"/>
    <x v="784"/>
    <s v="Kenji Williams"/>
    <x v="2"/>
    <x v="14"/>
    <x v="1"/>
    <x v="3"/>
    <x v="9"/>
    <n v="11"/>
    <n v="28.85"/>
    <x v="4"/>
    <n v="301.48"/>
    <n v="31.33"/>
    <n v="111.48"/>
    <x v="2"/>
  </r>
  <r>
    <s v="ORD-11420"/>
    <x v="784"/>
    <s v="Olga Yamamoto"/>
    <x v="0"/>
    <x v="14"/>
    <x v="1"/>
    <x v="0"/>
    <x v="22"/>
    <n v="4"/>
    <n v="141.99"/>
    <x v="0"/>
    <n v="567.96"/>
    <n v="15.11"/>
    <n v="240.47"/>
    <x v="3"/>
  </r>
  <r>
    <s v="ORD-11366"/>
    <x v="785"/>
    <s v="Ingrid Nilsson"/>
    <x v="0"/>
    <x v="16"/>
    <x v="3"/>
    <x v="2"/>
    <x v="21"/>
    <n v="6"/>
    <n v="70.12"/>
    <x v="3"/>
    <n v="378.65"/>
    <n v="13.58"/>
    <n v="112.64"/>
    <x v="1"/>
  </r>
  <r>
    <s v="ORD-10393"/>
    <x v="786"/>
    <s v="William Chen"/>
    <x v="0"/>
    <x v="2"/>
    <x v="0"/>
    <x v="1"/>
    <x v="17"/>
    <n v="2"/>
    <n v="8.94"/>
    <x v="3"/>
    <n v="16.09"/>
    <n v="6.66"/>
    <n v="1.38"/>
    <x v="1"/>
  </r>
  <r>
    <s v="ORD-11899"/>
    <x v="787"/>
    <s v="Ivan Nilsson"/>
    <x v="0"/>
    <x v="8"/>
    <x v="1"/>
    <x v="3"/>
    <x v="37"/>
    <n v="3"/>
    <n v="45.19"/>
    <x v="2"/>
    <n v="115.23"/>
    <n v="9.7100000000000009"/>
    <n v="37.74"/>
    <x v="1"/>
  </r>
  <r>
    <s v="ORD-10028"/>
    <x v="788"/>
    <s v="Ahmed Johansson"/>
    <x v="0"/>
    <x v="8"/>
    <x v="1"/>
    <x v="0"/>
    <x v="35"/>
    <n v="6"/>
    <n v="37.479999999999997"/>
    <x v="1"/>
    <n v="179.9"/>
    <n v="12.68"/>
    <n v="43.54"/>
    <x v="2"/>
  </r>
  <r>
    <s v="ORD-11669"/>
    <x v="789"/>
    <s v="Amina Sharma"/>
    <x v="1"/>
    <x v="13"/>
    <x v="0"/>
    <x v="1"/>
    <x v="25"/>
    <n v="1"/>
    <n v="12.12"/>
    <x v="3"/>
    <n v="10.91"/>
    <n v="6.34"/>
    <n v="-0.88"/>
    <x v="0"/>
  </r>
  <r>
    <s v="ORD-10451"/>
    <x v="790"/>
    <s v="Elizabeth Williams"/>
    <x v="0"/>
    <x v="8"/>
    <x v="1"/>
    <x v="3"/>
    <x v="11"/>
    <n v="4"/>
    <n v="33.659999999999997"/>
    <x v="0"/>
    <n v="134.63999999999999"/>
    <n v="10.38"/>
    <n v="56.94"/>
    <x v="1"/>
  </r>
  <r>
    <s v="ORD-10221"/>
    <x v="791"/>
    <s v="James Williams"/>
    <x v="2"/>
    <x v="0"/>
    <x v="0"/>
    <x v="2"/>
    <x v="5"/>
    <n v="10"/>
    <n v="85.05"/>
    <x v="0"/>
    <n v="850.5"/>
    <n v="26.06"/>
    <n v="314.14"/>
    <x v="3"/>
  </r>
  <r>
    <s v="ORD-11905"/>
    <x v="791"/>
    <s v="Xiao Santos"/>
    <x v="1"/>
    <x v="7"/>
    <x v="4"/>
    <x v="0"/>
    <x v="0"/>
    <n v="5"/>
    <n v="175.98"/>
    <x v="0"/>
    <n v="879.9"/>
    <n v="21.15"/>
    <n v="374.8"/>
    <x v="3"/>
  </r>
  <r>
    <s v="ORD-10781"/>
    <x v="792"/>
    <s v="Ava Fischer"/>
    <x v="0"/>
    <x v="14"/>
    <x v="1"/>
    <x v="0"/>
    <x v="0"/>
    <n v="13"/>
    <n v="161.29"/>
    <x v="1"/>
    <n v="1677.42"/>
    <n v="27.16"/>
    <n v="497.04"/>
    <x v="1"/>
  </r>
  <r>
    <s v="ORD-11354"/>
    <x v="792"/>
    <s v="Olga Leroy"/>
    <x v="0"/>
    <x v="11"/>
    <x v="2"/>
    <x v="2"/>
    <x v="14"/>
    <n v="1"/>
    <n v="377.92"/>
    <x v="0"/>
    <n v="377.92"/>
    <n v="13.11"/>
    <n v="138.06"/>
    <x v="2"/>
  </r>
  <r>
    <s v="ORD-10287"/>
    <x v="793"/>
    <s v="Hans Oliveira"/>
    <x v="1"/>
    <x v="16"/>
    <x v="3"/>
    <x v="1"/>
    <x v="17"/>
    <n v="1"/>
    <n v="17.45"/>
    <x v="2"/>
    <n v="14.83"/>
    <n v="9.94"/>
    <n v="-2.96"/>
    <x v="1"/>
  </r>
  <r>
    <s v="ORD-10164"/>
    <x v="794"/>
    <s v="Hanna Sato"/>
    <x v="1"/>
    <x v="1"/>
    <x v="1"/>
    <x v="0"/>
    <x v="1"/>
    <n v="4"/>
    <n v="89.1"/>
    <x v="2"/>
    <n v="302.94"/>
    <n v="16.32"/>
    <n v="90.6"/>
    <x v="2"/>
  </r>
  <r>
    <s v="ORD-10739"/>
    <x v="794"/>
    <s v="Amir Brown"/>
    <x v="2"/>
    <x v="3"/>
    <x v="1"/>
    <x v="0"/>
    <x v="1"/>
    <n v="9"/>
    <n v="162.84"/>
    <x v="3"/>
    <n v="1319"/>
    <n v="16.36"/>
    <n v="496.58"/>
    <x v="2"/>
  </r>
  <r>
    <s v="ORD-10307"/>
    <x v="795"/>
    <s v="Ali Kim"/>
    <x v="2"/>
    <x v="8"/>
    <x v="1"/>
    <x v="0"/>
    <x v="1"/>
    <n v="2"/>
    <n v="67.73"/>
    <x v="2"/>
    <n v="115.14"/>
    <n v="10.18"/>
    <n v="30.46"/>
    <x v="0"/>
  </r>
  <r>
    <s v="ORD-10610"/>
    <x v="795"/>
    <s v="Emma Wang"/>
    <x v="1"/>
    <x v="10"/>
    <x v="3"/>
    <x v="0"/>
    <x v="18"/>
    <n v="5"/>
    <n v="56.91"/>
    <x v="3"/>
    <n v="256.08999999999997"/>
    <n v="13.57"/>
    <n v="86.02"/>
    <x v="0"/>
  </r>
  <r>
    <s v="ORD-11971"/>
    <x v="795"/>
    <s v="William Martin"/>
    <x v="0"/>
    <x v="0"/>
    <x v="0"/>
    <x v="3"/>
    <x v="9"/>
    <n v="1"/>
    <n v="20.71"/>
    <x v="3"/>
    <n v="18.64"/>
    <n v="7.24"/>
    <n v="1.04"/>
    <x v="1"/>
  </r>
  <r>
    <s v="ORD-10458"/>
    <x v="796"/>
    <s v="Wei Thompson"/>
    <x v="1"/>
    <x v="0"/>
    <x v="0"/>
    <x v="2"/>
    <x v="5"/>
    <n v="1"/>
    <n v="153.82"/>
    <x v="3"/>
    <n v="138.44"/>
    <n v="6.07"/>
    <n v="40.08"/>
    <x v="2"/>
  </r>
  <r>
    <s v="ORD-11140"/>
    <x v="796"/>
    <s v="Jennifer Robinson"/>
    <x v="1"/>
    <x v="8"/>
    <x v="1"/>
    <x v="3"/>
    <x v="37"/>
    <n v="8"/>
    <n v="75.599999999999994"/>
    <x v="3"/>
    <n v="544.32000000000005"/>
    <n v="14.7"/>
    <n v="227.22"/>
    <x v="1"/>
  </r>
  <r>
    <s v="ORD-10037"/>
    <x v="797"/>
    <s v="Ivan Costa"/>
    <x v="2"/>
    <x v="14"/>
    <x v="1"/>
    <x v="2"/>
    <x v="39"/>
    <n v="2"/>
    <n v="222.78"/>
    <x v="2"/>
    <n v="378.73"/>
    <n v="9.94"/>
    <n v="101.45"/>
    <x v="1"/>
  </r>
  <r>
    <s v="ORD-11894"/>
    <x v="798"/>
    <s v="Elizabeth Miller"/>
    <x v="2"/>
    <x v="0"/>
    <x v="0"/>
    <x v="2"/>
    <x v="21"/>
    <n v="7"/>
    <n v="80.08"/>
    <x v="3"/>
    <n v="504.5"/>
    <n v="16.07"/>
    <n v="152.09"/>
    <x v="1"/>
  </r>
  <r>
    <s v="ORD-10486"/>
    <x v="799"/>
    <s v="Lucas Romano"/>
    <x v="1"/>
    <x v="19"/>
    <x v="1"/>
    <x v="3"/>
    <x v="27"/>
    <n v="5"/>
    <n v="38.659999999999997"/>
    <x v="0"/>
    <n v="193.3"/>
    <n v="12.1"/>
    <n v="84.55"/>
    <x v="2"/>
  </r>
  <r>
    <s v="ORD-10351"/>
    <x v="800"/>
    <s v="Fatima Johnson"/>
    <x v="1"/>
    <x v="19"/>
    <x v="1"/>
    <x v="2"/>
    <x v="21"/>
    <n v="3"/>
    <n v="95.44"/>
    <x v="0"/>
    <n v="286.32"/>
    <n v="14.19"/>
    <n v="100.34"/>
    <x v="2"/>
  </r>
  <r>
    <s v="ORD-10798"/>
    <x v="800"/>
    <s v="Pierre Anderson"/>
    <x v="0"/>
    <x v="5"/>
    <x v="3"/>
    <x v="2"/>
    <x v="32"/>
    <n v="10"/>
    <n v="61.71"/>
    <x v="3"/>
    <n v="555.39"/>
    <n v="27.35"/>
    <n v="157.78"/>
    <x v="1"/>
  </r>
  <r>
    <s v="ORD-10965"/>
    <x v="800"/>
    <s v="Clara Robinson"/>
    <x v="1"/>
    <x v="3"/>
    <x v="1"/>
    <x v="2"/>
    <x v="5"/>
    <n v="2"/>
    <n v="161.02000000000001"/>
    <x v="0"/>
    <n v="322.04000000000002"/>
    <n v="10.83"/>
    <n v="117.99"/>
    <x v="2"/>
  </r>
  <r>
    <s v="ORD-11990"/>
    <x v="800"/>
    <s v="Jennifer Clark"/>
    <x v="0"/>
    <x v="6"/>
    <x v="2"/>
    <x v="1"/>
    <x v="23"/>
    <n v="2"/>
    <n v="11.64"/>
    <x v="3"/>
    <n v="20.95"/>
    <n v="13.33"/>
    <n v="-2.86"/>
    <x v="1"/>
  </r>
  <r>
    <s v="ORD-10986"/>
    <x v="801"/>
    <s v="Robert Leroy"/>
    <x v="1"/>
    <x v="17"/>
    <x v="3"/>
    <x v="3"/>
    <x v="33"/>
    <n v="2"/>
    <n v="17.55"/>
    <x v="1"/>
    <n v="28.08"/>
    <n v="11.1"/>
    <n v="-0.56999999999999995"/>
    <x v="1"/>
  </r>
  <r>
    <s v="ORD-11620"/>
    <x v="801"/>
    <s v="Pierre Costa"/>
    <x v="0"/>
    <x v="0"/>
    <x v="0"/>
    <x v="0"/>
    <x v="18"/>
    <n v="1"/>
    <n v="62.48"/>
    <x v="2"/>
    <n v="53.11"/>
    <n v="5.86"/>
    <n v="12.89"/>
    <x v="3"/>
  </r>
  <r>
    <s v="ORD-10771"/>
    <x v="802"/>
    <s v="Ayumi Singh"/>
    <x v="1"/>
    <x v="1"/>
    <x v="1"/>
    <x v="1"/>
    <x v="10"/>
    <n v="5"/>
    <n v="5.25"/>
    <x v="0"/>
    <n v="26.25"/>
    <n v="12.14"/>
    <n v="2.2999999999999998"/>
    <x v="1"/>
  </r>
  <r>
    <s v="ORD-11087"/>
    <x v="802"/>
    <s v="Thomas Oliveira"/>
    <x v="0"/>
    <x v="11"/>
    <x v="2"/>
    <x v="2"/>
    <x v="4"/>
    <n v="1"/>
    <n v="241.54"/>
    <x v="2"/>
    <n v="205.31"/>
    <n v="13.18"/>
    <n v="47.21"/>
    <x v="1"/>
  </r>
  <r>
    <s v="ORD-11075"/>
    <x v="803"/>
    <s v="Nadia Ahmed"/>
    <x v="1"/>
    <x v="1"/>
    <x v="1"/>
    <x v="1"/>
    <x v="23"/>
    <n v="3"/>
    <n v="7.54"/>
    <x v="0"/>
    <n v="22.62"/>
    <n v="10.42"/>
    <n v="2.02"/>
    <x v="1"/>
  </r>
  <r>
    <s v="ORD-10053"/>
    <x v="804"/>
    <s v="Diego Miller"/>
    <x v="2"/>
    <x v="10"/>
    <x v="3"/>
    <x v="2"/>
    <x v="5"/>
    <n v="2"/>
    <n v="195.17"/>
    <x v="2"/>
    <n v="331.79"/>
    <n v="10.46"/>
    <n v="87.13"/>
    <x v="1"/>
  </r>
  <r>
    <s v="ORD-11086"/>
    <x v="804"/>
    <s v="Amina Nilsson"/>
    <x v="1"/>
    <x v="10"/>
    <x v="3"/>
    <x v="0"/>
    <x v="28"/>
    <n v="4"/>
    <n v="37.450000000000003"/>
    <x v="4"/>
    <n v="142.31"/>
    <n v="17.43"/>
    <n v="42.49"/>
    <x v="1"/>
  </r>
  <r>
    <s v="ORD-10166"/>
    <x v="805"/>
    <s v="Jennifer Pereira"/>
    <x v="1"/>
    <x v="6"/>
    <x v="2"/>
    <x v="0"/>
    <x v="3"/>
    <n v="8"/>
    <n v="48.19"/>
    <x v="0"/>
    <n v="385.52"/>
    <n v="18.04"/>
    <n v="155.44"/>
    <x v="3"/>
  </r>
  <r>
    <s v="ORD-10185"/>
    <x v="805"/>
    <s v="Sarah Clark"/>
    <x v="1"/>
    <x v="18"/>
    <x v="4"/>
    <x v="2"/>
    <x v="36"/>
    <n v="2"/>
    <n v="293.43"/>
    <x v="3"/>
    <n v="528.16999999999996"/>
    <n v="12.96"/>
    <n v="163.09"/>
    <x v="2"/>
  </r>
  <r>
    <s v="ORD-10234"/>
    <x v="805"/>
    <s v="Sophie Sharma"/>
    <x v="1"/>
    <x v="1"/>
    <x v="1"/>
    <x v="0"/>
    <x v="22"/>
    <n v="2"/>
    <n v="94.47"/>
    <x v="3"/>
    <n v="170.05"/>
    <n v="11.19"/>
    <n v="54.94"/>
    <x v="1"/>
  </r>
  <r>
    <s v="ORD-10145"/>
    <x v="806"/>
    <s v="Ali Wang"/>
    <x v="1"/>
    <x v="17"/>
    <x v="3"/>
    <x v="2"/>
    <x v="32"/>
    <n v="3"/>
    <n v="40.83"/>
    <x v="4"/>
    <n v="116.37"/>
    <n v="15.87"/>
    <n v="27.01"/>
    <x v="1"/>
  </r>
  <r>
    <s v="ORD-10671"/>
    <x v="806"/>
    <s v="Diego Sharma"/>
    <x v="0"/>
    <x v="8"/>
    <x v="1"/>
    <x v="0"/>
    <x v="7"/>
    <n v="1"/>
    <n v="68.69"/>
    <x v="3"/>
    <n v="61.82"/>
    <n v="8.7899999999999991"/>
    <n v="15.25"/>
    <x v="2"/>
  </r>
  <r>
    <s v="ORD-11794"/>
    <x v="806"/>
    <s v="Ali Miller"/>
    <x v="1"/>
    <x v="17"/>
    <x v="3"/>
    <x v="2"/>
    <x v="15"/>
    <n v="2"/>
    <n v="396.83"/>
    <x v="3"/>
    <n v="714.29"/>
    <n v="12.78"/>
    <n v="225.31"/>
    <x v="3"/>
  </r>
  <r>
    <s v="ORD-10111"/>
    <x v="807"/>
    <s v="Sakura Nilsson"/>
    <x v="0"/>
    <x v="11"/>
    <x v="2"/>
    <x v="3"/>
    <x v="30"/>
    <n v="4"/>
    <n v="28.55"/>
    <x v="3"/>
    <n v="102.78"/>
    <n v="14"/>
    <n v="31.68"/>
    <x v="1"/>
  </r>
  <r>
    <s v="ORD-10643"/>
    <x v="807"/>
    <s v="Marco Tanaka"/>
    <x v="1"/>
    <x v="3"/>
    <x v="1"/>
    <x v="0"/>
    <x v="28"/>
    <n v="1"/>
    <n v="52.17"/>
    <x v="1"/>
    <n v="41.74"/>
    <n v="7.51"/>
    <n v="5.54"/>
    <x v="0"/>
  </r>
  <r>
    <s v="ORD-11831"/>
    <x v="808"/>
    <s v="Raj Thompson"/>
    <x v="1"/>
    <x v="12"/>
    <x v="4"/>
    <x v="1"/>
    <x v="19"/>
    <n v="2"/>
    <n v="14.53"/>
    <x v="2"/>
    <n v="24.7"/>
    <n v="12.13"/>
    <n v="-0.51"/>
    <x v="3"/>
  </r>
  <r>
    <s v="ORD-10555"/>
    <x v="809"/>
    <s v="Ahmed Russo"/>
    <x v="1"/>
    <x v="9"/>
    <x v="3"/>
    <x v="0"/>
    <x v="1"/>
    <n v="3"/>
    <n v="70.319999999999993"/>
    <x v="2"/>
    <n v="179.32"/>
    <n v="16.16"/>
    <n v="47.13"/>
    <x v="2"/>
  </r>
  <r>
    <s v="ORD-11046"/>
    <x v="809"/>
    <s v="Sophie White"/>
    <x v="0"/>
    <x v="1"/>
    <x v="1"/>
    <x v="1"/>
    <x v="10"/>
    <n v="3"/>
    <n v="9.6999999999999993"/>
    <x v="4"/>
    <n v="27.64"/>
    <n v="13.8"/>
    <n v="0.75"/>
    <x v="1"/>
  </r>
  <r>
    <s v="ORD-11931"/>
    <x v="809"/>
    <s v="Kenji Miller"/>
    <x v="2"/>
    <x v="17"/>
    <x v="3"/>
    <x v="1"/>
    <x v="19"/>
    <n v="9"/>
    <n v="10.29"/>
    <x v="0"/>
    <n v="92.61"/>
    <n v="30.73"/>
    <n v="20.21"/>
    <x v="0"/>
  </r>
  <r>
    <s v="ORD-10133"/>
    <x v="810"/>
    <s v="Patricia Weber"/>
    <x v="2"/>
    <x v="19"/>
    <x v="1"/>
    <x v="0"/>
    <x v="18"/>
    <n v="1"/>
    <n v="39.869999999999997"/>
    <x v="0"/>
    <n v="39.869999999999997"/>
    <n v="8.3800000000000008"/>
    <n v="9.56"/>
    <x v="2"/>
  </r>
  <r>
    <s v="ORD-10282"/>
    <x v="810"/>
    <s v="Patricia Pereira"/>
    <x v="0"/>
    <x v="6"/>
    <x v="2"/>
    <x v="3"/>
    <x v="27"/>
    <n v="2"/>
    <n v="64.38"/>
    <x v="0"/>
    <n v="128.76"/>
    <n v="14.62"/>
    <n v="49.76"/>
    <x v="1"/>
  </r>
  <r>
    <s v="ORD-10290"/>
    <x v="810"/>
    <s v="Isabella Smith"/>
    <x v="0"/>
    <x v="13"/>
    <x v="0"/>
    <x v="3"/>
    <x v="33"/>
    <n v="1"/>
    <n v="42.67"/>
    <x v="1"/>
    <n v="34.14"/>
    <n v="5.71"/>
    <n v="7.09"/>
    <x v="2"/>
  </r>
  <r>
    <s v="ORD-10862"/>
    <x v="810"/>
    <s v="Isabella Khan"/>
    <x v="2"/>
    <x v="13"/>
    <x v="0"/>
    <x v="2"/>
    <x v="4"/>
    <n v="2"/>
    <n v="330.31"/>
    <x v="0"/>
    <n v="660.62"/>
    <n v="6.51"/>
    <n v="257.74"/>
    <x v="1"/>
  </r>
  <r>
    <s v="ORD-11715"/>
    <x v="810"/>
    <s v="Olga Weber"/>
    <x v="1"/>
    <x v="16"/>
    <x v="3"/>
    <x v="3"/>
    <x v="13"/>
    <n v="1"/>
    <n v="105.62"/>
    <x v="3"/>
    <n v="95.06"/>
    <n v="9.73"/>
    <n v="32.520000000000003"/>
    <x v="2"/>
  </r>
  <r>
    <s v="ORD-11753"/>
    <x v="810"/>
    <s v="Christopher Rodriguez"/>
    <x v="1"/>
    <x v="1"/>
    <x v="1"/>
    <x v="0"/>
    <x v="31"/>
    <n v="2"/>
    <n v="195.6"/>
    <x v="4"/>
    <n v="371.64"/>
    <n v="8.1999999999999993"/>
    <n v="148.28"/>
    <x v="2"/>
  </r>
  <r>
    <s v="ORD-10047"/>
    <x v="811"/>
    <s v="Karen Suzuki"/>
    <x v="1"/>
    <x v="19"/>
    <x v="1"/>
    <x v="2"/>
    <x v="8"/>
    <n v="6"/>
    <n v="64.16"/>
    <x v="2"/>
    <n v="327.22000000000003"/>
    <n v="11.04"/>
    <n v="85.2"/>
    <x v="0"/>
  </r>
  <r>
    <s v="ORD-10235"/>
    <x v="812"/>
    <s v="Robert Tanaka"/>
    <x v="0"/>
    <x v="1"/>
    <x v="1"/>
    <x v="2"/>
    <x v="8"/>
    <n v="2"/>
    <n v="85.22"/>
    <x v="4"/>
    <n v="161.91999999999999"/>
    <n v="9.2799999999999994"/>
    <n v="50.38"/>
    <x v="1"/>
  </r>
  <r>
    <s v="ORD-10386"/>
    <x v="812"/>
    <s v="Amir Dubois"/>
    <x v="2"/>
    <x v="13"/>
    <x v="0"/>
    <x v="3"/>
    <x v="30"/>
    <n v="1"/>
    <n v="9.94"/>
    <x v="1"/>
    <n v="7.95"/>
    <n v="6.62"/>
    <n v="-3.64"/>
    <x v="3"/>
  </r>
  <r>
    <s v="ORD-10501"/>
    <x v="812"/>
    <s v="Clara Hassan"/>
    <x v="1"/>
    <x v="10"/>
    <x v="3"/>
    <x v="2"/>
    <x v="5"/>
    <n v="1"/>
    <n v="167.52"/>
    <x v="0"/>
    <n v="167.52"/>
    <n v="10.49"/>
    <n v="56.52"/>
    <x v="2"/>
  </r>
  <r>
    <s v="ORD-10628"/>
    <x v="812"/>
    <s v="Joseph Wang"/>
    <x v="2"/>
    <x v="3"/>
    <x v="1"/>
    <x v="2"/>
    <x v="4"/>
    <n v="1"/>
    <n v="237.11"/>
    <x v="1"/>
    <n v="189.69"/>
    <n v="7.78"/>
    <n v="39.64"/>
    <x v="3"/>
  </r>
  <r>
    <s v="ORD-11748"/>
    <x v="812"/>
    <s v="Susan Laurent"/>
    <x v="2"/>
    <x v="7"/>
    <x v="4"/>
    <x v="1"/>
    <x v="12"/>
    <n v="6"/>
    <n v="20.04"/>
    <x v="3"/>
    <n v="108.22"/>
    <n v="13.93"/>
    <n v="40.18"/>
    <x v="2"/>
  </r>
  <r>
    <s v="ORD-10536"/>
    <x v="813"/>
    <s v="Joseph Weber"/>
    <x v="1"/>
    <x v="1"/>
    <x v="1"/>
    <x v="2"/>
    <x v="4"/>
    <n v="7"/>
    <n v="311.45999999999998"/>
    <x v="0"/>
    <n v="2180.2199999999998"/>
    <n v="11.81"/>
    <n v="860.28"/>
    <x v="0"/>
  </r>
  <r>
    <s v="ORD-10653"/>
    <x v="814"/>
    <s v="Amir Ferrari"/>
    <x v="0"/>
    <x v="12"/>
    <x v="4"/>
    <x v="2"/>
    <x v="34"/>
    <n v="2"/>
    <n v="42.2"/>
    <x v="2"/>
    <n v="71.739999999999995"/>
    <n v="12.37"/>
    <n v="8.73"/>
    <x v="1"/>
  </r>
  <r>
    <s v="ORD-11721"/>
    <x v="814"/>
    <s v="Elizabeth Zhang"/>
    <x v="0"/>
    <x v="13"/>
    <x v="0"/>
    <x v="3"/>
    <x v="9"/>
    <n v="8"/>
    <n v="15.3"/>
    <x v="3"/>
    <n v="110.16"/>
    <n v="9.77"/>
    <n v="39.19"/>
    <x v="0"/>
  </r>
  <r>
    <s v="ORD-10548"/>
    <x v="815"/>
    <s v="Chen Chen"/>
    <x v="1"/>
    <x v="16"/>
    <x v="3"/>
    <x v="2"/>
    <x v="8"/>
    <n v="4"/>
    <n v="72.47"/>
    <x v="3"/>
    <n v="260.89"/>
    <n v="14.16"/>
    <n v="72.8"/>
    <x v="1"/>
  </r>
  <r>
    <s v="ORD-10940"/>
    <x v="815"/>
    <s v="Robert Rodriguez"/>
    <x v="1"/>
    <x v="3"/>
    <x v="1"/>
    <x v="1"/>
    <x v="12"/>
    <n v="12"/>
    <n v="9.02"/>
    <x v="4"/>
    <n v="102.83"/>
    <n v="26.58"/>
    <n v="27.54"/>
    <x v="0"/>
  </r>
  <r>
    <s v="ORD-11541"/>
    <x v="815"/>
    <s v="Sarah Weber"/>
    <x v="2"/>
    <x v="0"/>
    <x v="0"/>
    <x v="2"/>
    <x v="36"/>
    <n v="6"/>
    <n v="118.21"/>
    <x v="2"/>
    <n v="602.87"/>
    <n v="11.16"/>
    <n v="166.15"/>
    <x v="1"/>
  </r>
  <r>
    <s v="ORD-10313"/>
    <x v="816"/>
    <s v="Noah Fischer"/>
    <x v="1"/>
    <x v="19"/>
    <x v="1"/>
    <x v="1"/>
    <x v="20"/>
    <n v="1"/>
    <n v="15.04"/>
    <x v="0"/>
    <n v="15.04"/>
    <n v="9.15"/>
    <n v="-0.88"/>
    <x v="0"/>
  </r>
  <r>
    <s v="ORD-10319"/>
    <x v="816"/>
    <s v="Hans Laurent"/>
    <x v="1"/>
    <x v="15"/>
    <x v="2"/>
    <x v="1"/>
    <x v="23"/>
    <n v="7"/>
    <n v="7.09"/>
    <x v="4"/>
    <n v="47.15"/>
    <n v="17.72"/>
    <n v="7.1"/>
    <x v="2"/>
  </r>
  <r>
    <s v="ORD-10269"/>
    <x v="817"/>
    <s v="Chen Martinez"/>
    <x v="1"/>
    <x v="9"/>
    <x v="3"/>
    <x v="2"/>
    <x v="5"/>
    <n v="1"/>
    <n v="103.88"/>
    <x v="4"/>
    <n v="98.69"/>
    <n v="9.92"/>
    <n v="26.44"/>
    <x v="3"/>
  </r>
  <r>
    <s v="ORD-10505"/>
    <x v="817"/>
    <s v="Fatima Weber"/>
    <x v="1"/>
    <x v="3"/>
    <x v="1"/>
    <x v="1"/>
    <x v="23"/>
    <n v="4"/>
    <n v="15.78"/>
    <x v="3"/>
    <n v="56.81"/>
    <n v="13.58"/>
    <n v="14.83"/>
    <x v="2"/>
  </r>
  <r>
    <s v="ORD-10960"/>
    <x v="817"/>
    <s v="Olivia Ali"/>
    <x v="2"/>
    <x v="13"/>
    <x v="0"/>
    <x v="1"/>
    <x v="38"/>
    <n v="4"/>
    <n v="10.63"/>
    <x v="4"/>
    <n v="40.39"/>
    <n v="11.15"/>
    <n v="10.11"/>
    <x v="1"/>
  </r>
  <r>
    <s v="ORD-11040"/>
    <x v="817"/>
    <s v="Diego Ferrari"/>
    <x v="0"/>
    <x v="14"/>
    <x v="1"/>
    <x v="3"/>
    <x v="13"/>
    <n v="1"/>
    <n v="78.87"/>
    <x v="6"/>
    <n v="59.15"/>
    <n v="8.91"/>
    <n v="10.8"/>
    <x v="2"/>
  </r>
  <r>
    <s v="ORD-10552"/>
    <x v="818"/>
    <s v="Zara Williams"/>
    <x v="1"/>
    <x v="1"/>
    <x v="1"/>
    <x v="0"/>
    <x v="0"/>
    <n v="2"/>
    <n v="153.30000000000001"/>
    <x v="4"/>
    <n v="291.27"/>
    <n v="8.25"/>
    <n v="114.39"/>
    <x v="0"/>
  </r>
  <r>
    <s v="ORD-10689"/>
    <x v="818"/>
    <s v="Layla Sharma"/>
    <x v="0"/>
    <x v="4"/>
    <x v="2"/>
    <x v="0"/>
    <x v="0"/>
    <n v="2"/>
    <n v="171.18"/>
    <x v="3"/>
    <n v="308.12"/>
    <n v="12.02"/>
    <n v="107.8"/>
    <x v="0"/>
  </r>
  <r>
    <s v="ORD-10972"/>
    <x v="818"/>
    <s v="Isabella White"/>
    <x v="0"/>
    <x v="9"/>
    <x v="3"/>
    <x v="1"/>
    <x v="23"/>
    <n v="3"/>
    <n v="11.89"/>
    <x v="6"/>
    <n v="26.75"/>
    <n v="12.8"/>
    <n v="-2.1"/>
    <x v="2"/>
  </r>
  <r>
    <s v="ORD-10170"/>
    <x v="819"/>
    <s v="Fatima Li"/>
    <x v="0"/>
    <x v="2"/>
    <x v="0"/>
    <x v="0"/>
    <x v="31"/>
    <n v="10"/>
    <n v="198.45"/>
    <x v="3"/>
    <n v="1786.05"/>
    <n v="26.78"/>
    <n v="667.79"/>
    <x v="1"/>
  </r>
  <r>
    <s v="ORD-11044"/>
    <x v="819"/>
    <s v="Ingrid Wang"/>
    <x v="0"/>
    <x v="0"/>
    <x v="0"/>
    <x v="1"/>
    <x v="6"/>
    <n v="7"/>
    <n v="13.33"/>
    <x v="3"/>
    <n v="83.98"/>
    <n v="10.58"/>
    <n v="31.41"/>
    <x v="1"/>
  </r>
  <r>
    <s v="ORD-10850"/>
    <x v="820"/>
    <s v="Ethan Chen"/>
    <x v="1"/>
    <x v="13"/>
    <x v="0"/>
    <x v="1"/>
    <x v="19"/>
    <n v="2"/>
    <n v="4.32"/>
    <x v="0"/>
    <n v="8.64"/>
    <n v="9.4"/>
    <n v="-4.6500000000000004"/>
    <x v="2"/>
  </r>
  <r>
    <s v="ORD-11071"/>
    <x v="820"/>
    <s v="Fatima Zhang"/>
    <x v="1"/>
    <x v="17"/>
    <x v="3"/>
    <x v="0"/>
    <x v="3"/>
    <n v="2"/>
    <n v="62.91"/>
    <x v="3"/>
    <n v="113.24"/>
    <n v="11.57"/>
    <n v="32.47"/>
    <x v="2"/>
  </r>
  <r>
    <s v="ORD-10195"/>
    <x v="821"/>
    <s v="Maria Ahmed"/>
    <x v="1"/>
    <x v="19"/>
    <x v="1"/>
    <x v="2"/>
    <x v="34"/>
    <n v="4"/>
    <n v="41.86"/>
    <x v="3"/>
    <n v="150.69999999999999"/>
    <n v="11.78"/>
    <n v="38.46"/>
    <x v="3"/>
  </r>
  <r>
    <s v="ORD-10204"/>
    <x v="821"/>
    <s v="Sophie Martinez"/>
    <x v="0"/>
    <x v="4"/>
    <x v="2"/>
    <x v="0"/>
    <x v="22"/>
    <n v="2"/>
    <n v="116.5"/>
    <x v="0"/>
    <n v="233"/>
    <n v="15.18"/>
    <n v="89.67"/>
    <x v="3"/>
  </r>
  <r>
    <s v="ORD-10542"/>
    <x v="821"/>
    <s v="Thomas Hassan"/>
    <x v="0"/>
    <x v="6"/>
    <x v="2"/>
    <x v="2"/>
    <x v="36"/>
    <n v="3"/>
    <n v="190.05"/>
    <x v="3"/>
    <n v="513.14"/>
    <n v="17.04"/>
    <n v="154.01"/>
    <x v="3"/>
  </r>
  <r>
    <s v="ORD-10368"/>
    <x v="822"/>
    <s v="Yuki Miller"/>
    <x v="1"/>
    <x v="10"/>
    <x v="3"/>
    <x v="2"/>
    <x v="8"/>
    <n v="2"/>
    <n v="63.03"/>
    <x v="3"/>
    <n v="113.45"/>
    <n v="10.28"/>
    <n v="27.53"/>
    <x v="0"/>
  </r>
  <r>
    <s v="ORD-11945"/>
    <x v="822"/>
    <s v="Sakura Rossi"/>
    <x v="1"/>
    <x v="14"/>
    <x v="1"/>
    <x v="3"/>
    <x v="11"/>
    <n v="4"/>
    <n v="55.18"/>
    <x v="1"/>
    <n v="176.58"/>
    <n v="14.34"/>
    <n v="51.88"/>
    <x v="0"/>
  </r>
  <r>
    <s v="ORD-10179"/>
    <x v="823"/>
    <s v="Emma Johnson"/>
    <x v="0"/>
    <x v="10"/>
    <x v="3"/>
    <x v="0"/>
    <x v="31"/>
    <n v="2"/>
    <n v="190.58"/>
    <x v="2"/>
    <n v="323.99"/>
    <n v="12.64"/>
    <n v="101.71"/>
    <x v="1"/>
  </r>
  <r>
    <s v="ORD-10299"/>
    <x v="823"/>
    <s v="Michael Park"/>
    <x v="2"/>
    <x v="17"/>
    <x v="3"/>
    <x v="1"/>
    <x v="12"/>
    <n v="5"/>
    <n v="14.09"/>
    <x v="4"/>
    <n v="66.930000000000007"/>
    <n v="13.7"/>
    <n v="21.53"/>
    <x v="1"/>
  </r>
  <r>
    <s v="ORD-11130"/>
    <x v="823"/>
    <s v="James Santos"/>
    <x v="2"/>
    <x v="10"/>
    <x v="3"/>
    <x v="0"/>
    <x v="29"/>
    <n v="6"/>
    <n v="26.66"/>
    <x v="0"/>
    <n v="159.96"/>
    <n v="19.350000000000001"/>
    <n v="52.63"/>
    <x v="1"/>
  </r>
  <r>
    <s v="ORD-11984"/>
    <x v="823"/>
    <s v="Linda Khan"/>
    <x v="1"/>
    <x v="11"/>
    <x v="2"/>
    <x v="0"/>
    <x v="22"/>
    <n v="2"/>
    <n v="109.17"/>
    <x v="4"/>
    <n v="207.42"/>
    <n v="13.67"/>
    <n v="73.66"/>
    <x v="2"/>
  </r>
  <r>
    <s v="ORD-11703"/>
    <x v="824"/>
    <s v="Zara Oliveira"/>
    <x v="2"/>
    <x v="19"/>
    <x v="1"/>
    <x v="0"/>
    <x v="28"/>
    <n v="10"/>
    <n v="34.31"/>
    <x v="3"/>
    <n v="308.79000000000002"/>
    <n v="21.64"/>
    <n v="98.44"/>
    <x v="2"/>
  </r>
  <r>
    <s v="ORD-10918"/>
    <x v="825"/>
    <s v="Richard Ali"/>
    <x v="0"/>
    <x v="2"/>
    <x v="0"/>
    <x v="1"/>
    <x v="10"/>
    <n v="4"/>
    <n v="5.4"/>
    <x v="4"/>
    <n v="20.52"/>
    <n v="10.6"/>
    <n v="0.2"/>
    <x v="1"/>
  </r>
  <r>
    <s v="ORD-11055"/>
    <x v="825"/>
    <s v="David Williams"/>
    <x v="1"/>
    <x v="0"/>
    <x v="0"/>
    <x v="0"/>
    <x v="7"/>
    <n v="2"/>
    <n v="56.99"/>
    <x v="2"/>
    <n v="96.88"/>
    <n v="6.66"/>
    <n v="27.53"/>
    <x v="1"/>
  </r>
  <r>
    <s v="ORD-11567"/>
    <x v="825"/>
    <s v="Mary Anderson"/>
    <x v="1"/>
    <x v="2"/>
    <x v="0"/>
    <x v="1"/>
    <x v="20"/>
    <n v="2"/>
    <n v="18.13"/>
    <x v="4"/>
    <n v="34.450000000000003"/>
    <n v="9.51"/>
    <n v="8.6199999999999992"/>
    <x v="3"/>
  </r>
  <r>
    <s v="ORD-10649"/>
    <x v="826"/>
    <s v="Wei Zhang"/>
    <x v="1"/>
    <x v="14"/>
    <x v="1"/>
    <x v="0"/>
    <x v="7"/>
    <n v="2"/>
    <n v="67.56"/>
    <x v="4"/>
    <n v="128.36000000000001"/>
    <n v="9.15"/>
    <n v="44.89"/>
    <x v="2"/>
  </r>
  <r>
    <s v="ORD-10238"/>
    <x v="827"/>
    <s v="Ava Rossi"/>
    <x v="0"/>
    <x v="5"/>
    <x v="3"/>
    <x v="2"/>
    <x v="5"/>
    <n v="1"/>
    <n v="128.66"/>
    <x v="4"/>
    <n v="122.23"/>
    <n v="9.94"/>
    <n v="35.090000000000003"/>
    <x v="2"/>
  </r>
  <r>
    <s v="ORD-10719"/>
    <x v="827"/>
    <s v="Sophie Tanaka"/>
    <x v="1"/>
    <x v="1"/>
    <x v="1"/>
    <x v="2"/>
    <x v="39"/>
    <n v="3"/>
    <n v="145.38999999999999"/>
    <x v="4"/>
    <n v="414.36"/>
    <n v="11.97"/>
    <n v="140.69"/>
    <x v="2"/>
  </r>
  <r>
    <s v="ORD-10890"/>
    <x v="827"/>
    <s v="Olga Garcia"/>
    <x v="0"/>
    <x v="2"/>
    <x v="0"/>
    <x v="2"/>
    <x v="14"/>
    <n v="2"/>
    <n v="301.44"/>
    <x v="4"/>
    <n v="572.74"/>
    <n v="7.89"/>
    <n v="203.12"/>
    <x v="1"/>
  </r>
  <r>
    <s v="ORD-11052"/>
    <x v="827"/>
    <s v="Lucas Hassan"/>
    <x v="1"/>
    <x v="8"/>
    <x v="1"/>
    <x v="2"/>
    <x v="15"/>
    <n v="4"/>
    <n v="333.64"/>
    <x v="4"/>
    <n v="1267.83"/>
    <n v="10.24"/>
    <n v="456.85"/>
    <x v="3"/>
  </r>
  <r>
    <s v="ORD-11200"/>
    <x v="827"/>
    <s v="Sakura Harris"/>
    <x v="0"/>
    <x v="5"/>
    <x v="3"/>
    <x v="0"/>
    <x v="18"/>
    <n v="15"/>
    <n v="57.2"/>
    <x v="0"/>
    <n v="858"/>
    <n v="28.7"/>
    <n v="357.4"/>
    <x v="1"/>
  </r>
  <r>
    <s v="ORD-11081"/>
    <x v="828"/>
    <s v="Amir Williams"/>
    <x v="1"/>
    <x v="2"/>
    <x v="0"/>
    <x v="0"/>
    <x v="35"/>
    <n v="9"/>
    <n v="60.42"/>
    <x v="0"/>
    <n v="543.78"/>
    <n v="12.46"/>
    <n v="232.24"/>
    <x v="1"/>
  </r>
  <r>
    <s v="ORD-11832"/>
    <x v="828"/>
    <s v="Giulia Garcia"/>
    <x v="0"/>
    <x v="12"/>
    <x v="4"/>
    <x v="1"/>
    <x v="6"/>
    <n v="1"/>
    <n v="9.26"/>
    <x v="3"/>
    <n v="8.33"/>
    <n v="10.71"/>
    <n v="-6.55"/>
    <x v="1"/>
  </r>
  <r>
    <s v="ORD-10836"/>
    <x v="829"/>
    <s v="Jessica Garcia"/>
    <x v="1"/>
    <x v="14"/>
    <x v="1"/>
    <x v="1"/>
    <x v="19"/>
    <n v="7"/>
    <n v="13.9"/>
    <x v="0"/>
    <n v="97.3"/>
    <n v="12.19"/>
    <n v="41.33"/>
    <x v="1"/>
  </r>
  <r>
    <s v="ORD-10981"/>
    <x v="829"/>
    <s v="Sophie Leroy"/>
    <x v="1"/>
    <x v="18"/>
    <x v="4"/>
    <x v="0"/>
    <x v="1"/>
    <n v="1"/>
    <n v="81.900000000000006"/>
    <x v="3"/>
    <n v="73.709999999999994"/>
    <n v="10.93"/>
    <n v="17.73"/>
    <x v="1"/>
  </r>
  <r>
    <s v="ORD-11230"/>
    <x v="829"/>
    <s v="Liam Rodriguez"/>
    <x v="1"/>
    <x v="19"/>
    <x v="1"/>
    <x v="2"/>
    <x v="21"/>
    <n v="2"/>
    <n v="50.77"/>
    <x v="0"/>
    <n v="101.54"/>
    <n v="11.84"/>
    <n v="28.78"/>
    <x v="0"/>
  </r>
  <r>
    <s v="ORD-11975"/>
    <x v="829"/>
    <s v="Kenji Moreau"/>
    <x v="1"/>
    <x v="13"/>
    <x v="0"/>
    <x v="0"/>
    <x v="7"/>
    <n v="6"/>
    <n v="35.76"/>
    <x v="4"/>
    <n v="203.83"/>
    <n v="16.97"/>
    <n v="68.849999999999994"/>
    <x v="3"/>
  </r>
  <r>
    <s v="ORD-10214"/>
    <x v="830"/>
    <s v="Felix Robinson"/>
    <x v="0"/>
    <x v="5"/>
    <x v="3"/>
    <x v="2"/>
    <x v="39"/>
    <n v="3"/>
    <n v="164.93"/>
    <x v="3"/>
    <n v="445.31"/>
    <n v="16.37"/>
    <n v="132.07"/>
    <x v="0"/>
  </r>
  <r>
    <s v="ORD-11024"/>
    <x v="830"/>
    <s v="Zara Wang"/>
    <x v="0"/>
    <x v="17"/>
    <x v="3"/>
    <x v="0"/>
    <x v="29"/>
    <n v="1"/>
    <n v="31.71"/>
    <x v="1"/>
    <n v="25.37"/>
    <n v="9.8800000000000008"/>
    <n v="-1.95"/>
    <x v="1"/>
  </r>
  <r>
    <s v="ORD-11096"/>
    <x v="830"/>
    <s v="Felix Smith"/>
    <x v="1"/>
    <x v="15"/>
    <x v="2"/>
    <x v="2"/>
    <x v="21"/>
    <n v="2"/>
    <n v="70.849999999999994"/>
    <x v="3"/>
    <n v="127.53"/>
    <n v="12.8"/>
    <n v="29.71"/>
    <x v="1"/>
  </r>
  <r>
    <s v="ORD-11285"/>
    <x v="830"/>
    <s v="Ivan Davis"/>
    <x v="1"/>
    <x v="0"/>
    <x v="0"/>
    <x v="0"/>
    <x v="28"/>
    <n v="1"/>
    <n v="46.96"/>
    <x v="3"/>
    <n v="42.26"/>
    <n v="7.43"/>
    <n v="9"/>
    <x v="2"/>
  </r>
  <r>
    <s v="ORD-10068"/>
    <x v="831"/>
    <s v="Amir Tanaka"/>
    <x v="2"/>
    <x v="5"/>
    <x v="3"/>
    <x v="3"/>
    <x v="33"/>
    <n v="3"/>
    <n v="35.090000000000003"/>
    <x v="2"/>
    <n v="89.48"/>
    <n v="15.75"/>
    <n v="21.09"/>
    <x v="2"/>
  </r>
  <r>
    <s v="ORD-10099"/>
    <x v="831"/>
    <s v="Robert Khan"/>
    <x v="1"/>
    <x v="12"/>
    <x v="4"/>
    <x v="0"/>
    <x v="29"/>
    <n v="1"/>
    <n v="31.02"/>
    <x v="2"/>
    <n v="26.37"/>
    <n v="11.99"/>
    <n v="-2.68"/>
    <x v="1"/>
  </r>
  <r>
    <s v="ORD-10284"/>
    <x v="832"/>
    <s v="Michael Smith"/>
    <x v="0"/>
    <x v="13"/>
    <x v="0"/>
    <x v="3"/>
    <x v="27"/>
    <n v="2"/>
    <n v="57.57"/>
    <x v="4"/>
    <n v="109.38"/>
    <n v="7.11"/>
    <n v="44.7"/>
    <x v="2"/>
  </r>
  <r>
    <s v="ORD-10930"/>
    <x v="832"/>
    <s v="Maria Weber"/>
    <x v="1"/>
    <x v="4"/>
    <x v="2"/>
    <x v="0"/>
    <x v="7"/>
    <n v="4"/>
    <n v="66.819999999999993"/>
    <x v="0"/>
    <n v="267.27999999999997"/>
    <n v="19.899999999999999"/>
    <n v="100.38"/>
    <x v="1"/>
  </r>
  <r>
    <s v="ORD-11283"/>
    <x v="833"/>
    <s v="Li Wang"/>
    <x v="0"/>
    <x v="5"/>
    <x v="3"/>
    <x v="3"/>
    <x v="27"/>
    <n v="3"/>
    <n v="31.44"/>
    <x v="0"/>
    <n v="94.32"/>
    <n v="11.64"/>
    <n v="35.520000000000003"/>
    <x v="0"/>
  </r>
  <r>
    <s v="ORD-11051"/>
    <x v="834"/>
    <s v="Jennifer Dubois"/>
    <x v="1"/>
    <x v="5"/>
    <x v="3"/>
    <x v="0"/>
    <x v="7"/>
    <n v="1"/>
    <n v="32.700000000000003"/>
    <x v="0"/>
    <n v="32.700000000000003"/>
    <n v="10.93"/>
    <n v="3.79"/>
    <x v="1"/>
  </r>
  <r>
    <s v="ORD-11201"/>
    <x v="834"/>
    <s v="Elizabeth Garcia"/>
    <x v="2"/>
    <x v="16"/>
    <x v="3"/>
    <x v="1"/>
    <x v="17"/>
    <n v="1"/>
    <n v="21.86"/>
    <x v="1"/>
    <n v="17.489999999999998"/>
    <n v="11.22"/>
    <n v="-3.57"/>
    <x v="3"/>
  </r>
  <r>
    <s v="ORD-11266"/>
    <x v="834"/>
    <s v="Chen Tanaka"/>
    <x v="2"/>
    <x v="9"/>
    <x v="3"/>
    <x v="1"/>
    <x v="25"/>
    <n v="1"/>
    <n v="13.39"/>
    <x v="4"/>
    <n v="12.72"/>
    <n v="9.93"/>
    <n v="-3.24"/>
    <x v="2"/>
  </r>
  <r>
    <s v="ORD-11360"/>
    <x v="834"/>
    <s v="Thomas Smith"/>
    <x v="2"/>
    <x v="13"/>
    <x v="0"/>
    <x v="3"/>
    <x v="11"/>
    <n v="5"/>
    <n v="31.44"/>
    <x v="0"/>
    <n v="157.19999999999999"/>
    <n v="11.49"/>
    <n v="67.11"/>
    <x v="0"/>
  </r>
  <r>
    <s v="ORD-11842"/>
    <x v="834"/>
    <s v="Olivia Anderson"/>
    <x v="2"/>
    <x v="2"/>
    <x v="0"/>
    <x v="1"/>
    <x v="25"/>
    <n v="4"/>
    <n v="5.03"/>
    <x v="4"/>
    <n v="19.11"/>
    <n v="12.77"/>
    <n v="-2.71"/>
    <x v="1"/>
  </r>
  <r>
    <s v="ORD-10097"/>
    <x v="835"/>
    <s v="Sarah Kim"/>
    <x v="1"/>
    <x v="8"/>
    <x v="1"/>
    <x v="1"/>
    <x v="20"/>
    <n v="3"/>
    <n v="7.81"/>
    <x v="0"/>
    <n v="23.43"/>
    <n v="11.85"/>
    <n v="1.04"/>
    <x v="2"/>
  </r>
  <r>
    <s v="ORD-11482"/>
    <x v="836"/>
    <s v="James Williams"/>
    <x v="0"/>
    <x v="2"/>
    <x v="0"/>
    <x v="2"/>
    <x v="21"/>
    <n v="6"/>
    <n v="63.63"/>
    <x v="3"/>
    <n v="343.6"/>
    <n v="17.309999999999999"/>
    <n v="97.22"/>
    <x v="0"/>
  </r>
  <r>
    <s v="ORD-11752"/>
    <x v="836"/>
    <s v="Ahmed Rodriguez"/>
    <x v="2"/>
    <x v="15"/>
    <x v="2"/>
    <x v="2"/>
    <x v="5"/>
    <n v="4"/>
    <n v="107.74"/>
    <x v="3"/>
    <n v="387.86"/>
    <n v="18.57"/>
    <n v="110.71"/>
    <x v="1"/>
  </r>
  <r>
    <s v="ORD-10502"/>
    <x v="837"/>
    <s v="Sarah Johnson"/>
    <x v="1"/>
    <x v="0"/>
    <x v="0"/>
    <x v="1"/>
    <x v="20"/>
    <n v="4"/>
    <n v="11.36"/>
    <x v="0"/>
    <n v="45.44"/>
    <n v="11.98"/>
    <n v="13.01"/>
    <x v="1"/>
  </r>
  <r>
    <s v="ORD-11192"/>
    <x v="837"/>
    <s v="Giulia Oliveira"/>
    <x v="0"/>
    <x v="3"/>
    <x v="1"/>
    <x v="3"/>
    <x v="26"/>
    <n v="2"/>
    <n v="31.6"/>
    <x v="2"/>
    <n v="53.72"/>
    <n v="10.11"/>
    <n v="12.01"/>
    <x v="1"/>
  </r>
  <r>
    <s v="ORD-11691"/>
    <x v="837"/>
    <s v="Christopher Davis"/>
    <x v="1"/>
    <x v="10"/>
    <x v="3"/>
    <x v="0"/>
    <x v="3"/>
    <n v="4"/>
    <n v="46.59"/>
    <x v="4"/>
    <n v="177.04"/>
    <n v="18.989999999999998"/>
    <n v="55.55"/>
    <x v="0"/>
  </r>
  <r>
    <s v="ORD-10733"/>
    <x v="838"/>
    <s v="Mary Martinez"/>
    <x v="0"/>
    <x v="8"/>
    <x v="1"/>
    <x v="0"/>
    <x v="3"/>
    <n v="2"/>
    <n v="40.18"/>
    <x v="0"/>
    <n v="80.36"/>
    <n v="10.31"/>
    <n v="25.85"/>
    <x v="1"/>
  </r>
  <r>
    <s v="ORD-10809"/>
    <x v="838"/>
    <s v="William Rodriguez"/>
    <x v="0"/>
    <x v="0"/>
    <x v="0"/>
    <x v="0"/>
    <x v="29"/>
    <n v="1"/>
    <n v="36.619999999999997"/>
    <x v="1"/>
    <n v="29.3"/>
    <n v="6.08"/>
    <n v="3.08"/>
    <x v="3"/>
  </r>
  <r>
    <s v="ORD-10125"/>
    <x v="839"/>
    <s v="Priya Harris"/>
    <x v="2"/>
    <x v="0"/>
    <x v="0"/>
    <x v="2"/>
    <x v="21"/>
    <n v="5"/>
    <n v="38.24"/>
    <x v="3"/>
    <n v="172.08"/>
    <n v="9.65"/>
    <n v="47.71"/>
    <x v="2"/>
  </r>
  <r>
    <s v="ORD-10743"/>
    <x v="839"/>
    <s v="Liam Smith"/>
    <x v="1"/>
    <x v="14"/>
    <x v="1"/>
    <x v="3"/>
    <x v="27"/>
    <n v="4"/>
    <n v="59.6"/>
    <x v="0"/>
    <n v="238.4"/>
    <n v="14.78"/>
    <n v="104.42"/>
    <x v="0"/>
  </r>
  <r>
    <s v="ORD-10175"/>
    <x v="840"/>
    <s v="Jamal Brown"/>
    <x v="0"/>
    <x v="9"/>
    <x v="3"/>
    <x v="3"/>
    <x v="16"/>
    <n v="6"/>
    <n v="40.46"/>
    <x v="0"/>
    <n v="242.76"/>
    <n v="18.34"/>
    <n v="103.04"/>
    <x v="1"/>
  </r>
  <r>
    <s v="ORD-11232"/>
    <x v="840"/>
    <s v="Felix Fischer"/>
    <x v="0"/>
    <x v="12"/>
    <x v="4"/>
    <x v="1"/>
    <x v="20"/>
    <n v="1"/>
    <n v="18.809999999999999"/>
    <x v="1"/>
    <n v="15.05"/>
    <n v="11.78"/>
    <n v="-5.19"/>
    <x v="0"/>
  </r>
  <r>
    <s v="ORD-10431"/>
    <x v="841"/>
    <s v="Pierre Wang"/>
    <x v="0"/>
    <x v="1"/>
    <x v="1"/>
    <x v="1"/>
    <x v="17"/>
    <n v="3"/>
    <n v="7.81"/>
    <x v="2"/>
    <n v="19.920000000000002"/>
    <n v="9.35"/>
    <n v="0.03"/>
    <x v="3"/>
  </r>
  <r>
    <s v="ORD-10729"/>
    <x v="841"/>
    <s v="Layla Smith"/>
    <x v="2"/>
    <x v="10"/>
    <x v="3"/>
    <x v="0"/>
    <x v="18"/>
    <n v="11"/>
    <n v="61.28"/>
    <x v="3"/>
    <n v="606.66999999999996"/>
    <n v="16.64"/>
    <n v="219.29"/>
    <x v="2"/>
  </r>
  <r>
    <s v="ORD-11215"/>
    <x v="841"/>
    <s v="Sophie Martinez"/>
    <x v="1"/>
    <x v="0"/>
    <x v="0"/>
    <x v="3"/>
    <x v="11"/>
    <n v="11"/>
    <n v="79.5"/>
    <x v="0"/>
    <n v="874.5"/>
    <n v="14.35"/>
    <n v="422.9"/>
    <x v="1"/>
  </r>
  <r>
    <s v="ORD-11197"/>
    <x v="842"/>
    <s v="Robert Park"/>
    <x v="1"/>
    <x v="0"/>
    <x v="0"/>
    <x v="2"/>
    <x v="32"/>
    <n v="11"/>
    <n v="43.24"/>
    <x v="4"/>
    <n v="451.86"/>
    <n v="28.8"/>
    <n v="137.68"/>
    <x v="1"/>
  </r>
  <r>
    <s v="ORD-10216"/>
    <x v="843"/>
    <s v="Jennifer Brown"/>
    <x v="2"/>
    <x v="19"/>
    <x v="1"/>
    <x v="1"/>
    <x v="2"/>
    <n v="1"/>
    <n v="12.72"/>
    <x v="3"/>
    <n v="11.45"/>
    <n v="8.73"/>
    <n v="-3"/>
    <x v="1"/>
  </r>
  <r>
    <s v="ORD-10731"/>
    <x v="844"/>
    <s v="Ingrid Jackson"/>
    <x v="2"/>
    <x v="5"/>
    <x v="3"/>
    <x v="2"/>
    <x v="8"/>
    <n v="8"/>
    <n v="98.63"/>
    <x v="4"/>
    <n v="749.59"/>
    <n v="25.57"/>
    <n v="250.6"/>
    <x v="1"/>
  </r>
  <r>
    <s v="ORD-10251"/>
    <x v="845"/>
    <s v="Pierre Fischer"/>
    <x v="1"/>
    <x v="8"/>
    <x v="1"/>
    <x v="1"/>
    <x v="12"/>
    <n v="4"/>
    <n v="21.61"/>
    <x v="3"/>
    <n v="77.8"/>
    <n v="9.9600000000000009"/>
    <n v="28.94"/>
    <x v="3"/>
  </r>
  <r>
    <s v="ORD-11679"/>
    <x v="845"/>
    <s v="Elizabeth Schmidt"/>
    <x v="0"/>
    <x v="13"/>
    <x v="0"/>
    <x v="3"/>
    <x v="13"/>
    <n v="2"/>
    <n v="82.5"/>
    <x v="2"/>
    <n v="140.25"/>
    <n v="8.65"/>
    <n v="49.1"/>
    <x v="2"/>
  </r>
  <r>
    <s v="ORD-10019"/>
    <x v="846"/>
    <s v="Linda Zhang"/>
    <x v="1"/>
    <x v="13"/>
    <x v="0"/>
    <x v="3"/>
    <x v="30"/>
    <n v="10"/>
    <n v="11.46"/>
    <x v="0"/>
    <n v="114.6"/>
    <n v="13.72"/>
    <n v="43.58"/>
    <x v="2"/>
  </r>
  <r>
    <s v="ORD-11773"/>
    <x v="846"/>
    <s v="Christopher White"/>
    <x v="0"/>
    <x v="2"/>
    <x v="0"/>
    <x v="3"/>
    <x v="13"/>
    <n v="7"/>
    <n v="147.88"/>
    <x v="4"/>
    <n v="983.4"/>
    <n v="18.010000000000002"/>
    <n v="447.81"/>
    <x v="2"/>
  </r>
  <r>
    <s v="ORD-11593"/>
    <x v="847"/>
    <s v="Pierre Weber"/>
    <x v="1"/>
    <x v="16"/>
    <x v="3"/>
    <x v="0"/>
    <x v="0"/>
    <n v="1"/>
    <n v="249.9"/>
    <x v="3"/>
    <n v="224.91"/>
    <n v="10.6"/>
    <n v="76.86"/>
    <x v="2"/>
  </r>
  <r>
    <s v="ORD-11605"/>
    <x v="847"/>
    <s v="Hans Rossi"/>
    <x v="1"/>
    <x v="19"/>
    <x v="1"/>
    <x v="0"/>
    <x v="0"/>
    <n v="8"/>
    <n v="47.09"/>
    <x v="3"/>
    <n v="339.05"/>
    <n v="20.61"/>
    <n v="111.24"/>
    <x v="3"/>
  </r>
  <r>
    <s v="ORD-11010"/>
    <x v="848"/>
    <s v="Robert Russo"/>
    <x v="0"/>
    <x v="17"/>
    <x v="3"/>
    <x v="1"/>
    <x v="6"/>
    <n v="3"/>
    <n v="14.48"/>
    <x v="1"/>
    <n v="34.75"/>
    <n v="15.11"/>
    <n v="0.09"/>
    <x v="1"/>
  </r>
  <r>
    <s v="ORD-11334"/>
    <x v="848"/>
    <s v="Layla Rodriguez"/>
    <x v="1"/>
    <x v="5"/>
    <x v="3"/>
    <x v="2"/>
    <x v="32"/>
    <n v="5"/>
    <n v="44.91"/>
    <x v="1"/>
    <n v="179.64"/>
    <n v="11.97"/>
    <n v="32.94"/>
    <x v="2"/>
  </r>
  <r>
    <s v="ORD-11646"/>
    <x v="848"/>
    <s v="Zara Suzuki"/>
    <x v="1"/>
    <x v="15"/>
    <x v="2"/>
    <x v="1"/>
    <x v="17"/>
    <n v="3"/>
    <n v="17.760000000000002"/>
    <x v="2"/>
    <n v="45.29"/>
    <n v="15.75"/>
    <n v="5.56"/>
    <x v="0"/>
  </r>
  <r>
    <s v="ORD-11500"/>
    <x v="849"/>
    <s v="Ali Yamamoto"/>
    <x v="1"/>
    <x v="18"/>
    <x v="4"/>
    <x v="3"/>
    <x v="27"/>
    <n v="1"/>
    <n v="40.549999999999997"/>
    <x v="2"/>
    <n v="34.47"/>
    <n v="11.54"/>
    <n v="2.66"/>
    <x v="2"/>
  </r>
  <r>
    <s v="ORD-11531"/>
    <x v="850"/>
    <s v="Wei White"/>
    <x v="2"/>
    <x v="19"/>
    <x v="1"/>
    <x v="2"/>
    <x v="15"/>
    <n v="3"/>
    <n v="414.09"/>
    <x v="3"/>
    <n v="1118.04"/>
    <n v="13.11"/>
    <n v="359.57"/>
    <x v="2"/>
  </r>
  <r>
    <s v="ORD-11972"/>
    <x v="850"/>
    <s v="Emma Miller"/>
    <x v="1"/>
    <x v="1"/>
    <x v="1"/>
    <x v="3"/>
    <x v="11"/>
    <n v="4"/>
    <n v="90.28"/>
    <x v="2"/>
    <n v="306.95"/>
    <n v="11.43"/>
    <n v="114.96"/>
    <x v="1"/>
  </r>
  <r>
    <s v="ORD-10566"/>
    <x v="851"/>
    <s v="Giulia Harris"/>
    <x v="2"/>
    <x v="3"/>
    <x v="1"/>
    <x v="0"/>
    <x v="0"/>
    <n v="2"/>
    <n v="217.52"/>
    <x v="3"/>
    <n v="391.54"/>
    <n v="8.5"/>
    <n v="143.77000000000001"/>
    <x v="3"/>
  </r>
  <r>
    <s v="ORD-11915"/>
    <x v="851"/>
    <s v="Jamal Rossi"/>
    <x v="1"/>
    <x v="0"/>
    <x v="0"/>
    <x v="3"/>
    <x v="37"/>
    <n v="4"/>
    <n v="70.89"/>
    <x v="0"/>
    <n v="283.56"/>
    <n v="8.25"/>
    <n v="133.53"/>
    <x v="0"/>
  </r>
  <r>
    <s v="ORD-11125"/>
    <x v="852"/>
    <s v="Sophie Schmidt"/>
    <x v="2"/>
    <x v="7"/>
    <x v="4"/>
    <x v="2"/>
    <x v="36"/>
    <n v="2"/>
    <n v="178.05"/>
    <x v="0"/>
    <n v="356.1"/>
    <n v="11.65"/>
    <n v="130.79"/>
    <x v="2"/>
  </r>
  <r>
    <s v="ORD-11490"/>
    <x v="852"/>
    <s v="Wei Jackson"/>
    <x v="2"/>
    <x v="8"/>
    <x v="1"/>
    <x v="2"/>
    <x v="4"/>
    <n v="10"/>
    <n v="320.82"/>
    <x v="1"/>
    <n v="2566.56"/>
    <n v="27"/>
    <n v="614.64"/>
    <x v="3"/>
  </r>
  <r>
    <s v="ORD-11608"/>
    <x v="852"/>
    <s v="Isabella Sato"/>
    <x v="1"/>
    <x v="12"/>
    <x v="4"/>
    <x v="3"/>
    <x v="11"/>
    <n v="6"/>
    <n v="92.98"/>
    <x v="0"/>
    <n v="557.88"/>
    <n v="18.670000000000002"/>
    <n v="260.27"/>
    <x v="2"/>
  </r>
  <r>
    <s v="ORD-11119"/>
    <x v="853"/>
    <s v="Diego Suzuki"/>
    <x v="0"/>
    <x v="2"/>
    <x v="0"/>
    <x v="0"/>
    <x v="28"/>
    <n v="2"/>
    <n v="61.98"/>
    <x v="2"/>
    <n v="105.37"/>
    <n v="7.76"/>
    <n v="29.43"/>
    <x v="3"/>
  </r>
  <r>
    <s v="ORD-11743"/>
    <x v="853"/>
    <s v="Xiao Jackson"/>
    <x v="1"/>
    <x v="2"/>
    <x v="0"/>
    <x v="1"/>
    <x v="6"/>
    <n v="2"/>
    <n v="24.23"/>
    <x v="0"/>
    <n v="48.46"/>
    <n v="7.91"/>
    <n v="18.739999999999998"/>
    <x v="0"/>
  </r>
  <r>
    <s v="ORD-10858"/>
    <x v="854"/>
    <s v="Hans Sato"/>
    <x v="0"/>
    <x v="1"/>
    <x v="1"/>
    <x v="0"/>
    <x v="0"/>
    <n v="5"/>
    <n v="248.6"/>
    <x v="6"/>
    <n v="932.25"/>
    <n v="17.13"/>
    <n v="231.47"/>
    <x v="3"/>
  </r>
  <r>
    <s v="ORD-11256"/>
    <x v="854"/>
    <s v="Ivan Sato"/>
    <x v="1"/>
    <x v="1"/>
    <x v="1"/>
    <x v="2"/>
    <x v="14"/>
    <n v="2"/>
    <n v="297.83999999999997"/>
    <x v="2"/>
    <n v="506.33"/>
    <n v="8.5500000000000007"/>
    <n v="140.37"/>
    <x v="3"/>
  </r>
  <r>
    <s v="ORD-11940"/>
    <x v="854"/>
    <s v="Hanna Hassan"/>
    <x v="2"/>
    <x v="19"/>
    <x v="1"/>
    <x v="0"/>
    <x v="22"/>
    <n v="6"/>
    <n v="110.54"/>
    <x v="3"/>
    <n v="596.91999999999996"/>
    <n v="21.12"/>
    <n v="211.02"/>
    <x v="2"/>
  </r>
  <r>
    <s v="ORD-11987"/>
    <x v="855"/>
    <s v="Hanna Ferrari"/>
    <x v="1"/>
    <x v="3"/>
    <x v="1"/>
    <x v="0"/>
    <x v="29"/>
    <n v="1"/>
    <n v="48.57"/>
    <x v="2"/>
    <n v="41.28"/>
    <n v="8.92"/>
    <n v="5.65"/>
    <x v="2"/>
  </r>
  <r>
    <s v="ORD-11474"/>
    <x v="856"/>
    <s v="Fatima Smith"/>
    <x v="2"/>
    <x v="10"/>
    <x v="3"/>
    <x v="1"/>
    <x v="25"/>
    <n v="7"/>
    <n v="12.96"/>
    <x v="0"/>
    <n v="90.72"/>
    <n v="22.05"/>
    <n v="27.85"/>
    <x v="2"/>
  </r>
  <r>
    <s v="ORD-10971"/>
    <x v="857"/>
    <s v="Priya Costa"/>
    <x v="0"/>
    <x v="13"/>
    <x v="0"/>
    <x v="2"/>
    <x v="32"/>
    <n v="1"/>
    <n v="79.069999999999993"/>
    <x v="0"/>
    <n v="79.069999999999993"/>
    <n v="7.11"/>
    <n v="24.52"/>
    <x v="1"/>
  </r>
  <r>
    <s v="ORD-11413"/>
    <x v="857"/>
    <s v="Mary Rossi"/>
    <x v="1"/>
    <x v="15"/>
    <x v="2"/>
    <x v="0"/>
    <x v="3"/>
    <n v="2"/>
    <n v="41.12"/>
    <x v="0"/>
    <n v="82.24"/>
    <n v="15.15"/>
    <n v="21.86"/>
    <x v="1"/>
  </r>
  <r>
    <s v="ORD-11492"/>
    <x v="857"/>
    <s v="Hans Wang"/>
    <x v="0"/>
    <x v="2"/>
    <x v="0"/>
    <x v="1"/>
    <x v="19"/>
    <n v="1"/>
    <n v="7.84"/>
    <x v="2"/>
    <n v="6.66"/>
    <n v="6.96"/>
    <n v="-3.83"/>
    <x v="1"/>
  </r>
  <r>
    <s v="ORD-11741"/>
    <x v="858"/>
    <s v="William Ali"/>
    <x v="2"/>
    <x v="5"/>
    <x v="3"/>
    <x v="2"/>
    <x v="8"/>
    <n v="4"/>
    <n v="102.08"/>
    <x v="0"/>
    <n v="408.32"/>
    <n v="18.68"/>
    <n v="144.65"/>
    <x v="1"/>
  </r>
  <r>
    <s v="ORD-10139"/>
    <x v="859"/>
    <s v="Olivia Leroy"/>
    <x v="2"/>
    <x v="5"/>
    <x v="3"/>
    <x v="2"/>
    <x v="15"/>
    <n v="1"/>
    <n v="165.86"/>
    <x v="4"/>
    <n v="157.57"/>
    <n v="10.45"/>
    <n v="47.6"/>
    <x v="2"/>
  </r>
  <r>
    <s v="ORD-11028"/>
    <x v="859"/>
    <s v="Ayumi Singh"/>
    <x v="1"/>
    <x v="17"/>
    <x v="3"/>
    <x v="3"/>
    <x v="13"/>
    <n v="6"/>
    <n v="129.18"/>
    <x v="0"/>
    <n v="775.08"/>
    <n v="12.89"/>
    <n v="374.65"/>
    <x v="1"/>
  </r>
  <r>
    <s v="ORD-11543"/>
    <x v="859"/>
    <s v="James Rossi"/>
    <x v="1"/>
    <x v="19"/>
    <x v="1"/>
    <x v="2"/>
    <x v="32"/>
    <n v="5"/>
    <n v="72.91"/>
    <x v="4"/>
    <n v="346.32"/>
    <n v="18.059999999999999"/>
    <n v="109.53"/>
    <x v="1"/>
  </r>
  <r>
    <s v="ORD-11674"/>
    <x v="859"/>
    <s v="Mary Fischer"/>
    <x v="1"/>
    <x v="6"/>
    <x v="2"/>
    <x v="3"/>
    <x v="27"/>
    <n v="3"/>
    <n v="53.65"/>
    <x v="4"/>
    <n v="152.9"/>
    <n v="13.46"/>
    <n v="58.97"/>
    <x v="1"/>
  </r>
  <r>
    <s v="ORD-11926"/>
    <x v="859"/>
    <s v="Susan Yamamoto"/>
    <x v="2"/>
    <x v="8"/>
    <x v="1"/>
    <x v="2"/>
    <x v="36"/>
    <n v="1"/>
    <n v="272.64"/>
    <x v="3"/>
    <n v="245.38"/>
    <n v="9.1199999999999992"/>
    <n v="72.680000000000007"/>
    <x v="1"/>
  </r>
  <r>
    <s v="ORD-10839"/>
    <x v="860"/>
    <s v="Olga Robinson"/>
    <x v="0"/>
    <x v="5"/>
    <x v="3"/>
    <x v="0"/>
    <x v="0"/>
    <n v="2"/>
    <n v="166.68"/>
    <x v="2"/>
    <n v="283.36"/>
    <n v="11.52"/>
    <n v="88.49"/>
    <x v="2"/>
  </r>
  <r>
    <s v="ORD-11556"/>
    <x v="860"/>
    <s v="Susan Jackson"/>
    <x v="0"/>
    <x v="8"/>
    <x v="1"/>
    <x v="2"/>
    <x v="4"/>
    <n v="3"/>
    <n v="263.77"/>
    <x v="4"/>
    <n v="751.74"/>
    <n v="8.65"/>
    <n v="268.3"/>
    <x v="3"/>
  </r>
  <r>
    <s v="ORD-11145"/>
    <x v="861"/>
    <s v="Marco Sato"/>
    <x v="1"/>
    <x v="14"/>
    <x v="1"/>
    <x v="2"/>
    <x v="21"/>
    <n v="4"/>
    <n v="78.41"/>
    <x v="0"/>
    <n v="313.64"/>
    <n v="10.24"/>
    <n v="115.22"/>
    <x v="1"/>
  </r>
  <r>
    <s v="ORD-11348"/>
    <x v="862"/>
    <s v="Liam Sharma"/>
    <x v="1"/>
    <x v="7"/>
    <x v="4"/>
    <x v="1"/>
    <x v="38"/>
    <n v="5"/>
    <n v="6.76"/>
    <x v="2"/>
    <n v="28.73"/>
    <n v="18"/>
    <n v="-4.4800000000000004"/>
    <x v="1"/>
  </r>
  <r>
    <s v="ORD-11970"/>
    <x v="862"/>
    <s v="Sophie Zhang"/>
    <x v="1"/>
    <x v="2"/>
    <x v="0"/>
    <x v="1"/>
    <x v="10"/>
    <n v="2"/>
    <n v="7.54"/>
    <x v="0"/>
    <n v="15.08"/>
    <n v="6.17"/>
    <n v="2.12"/>
    <x v="1"/>
  </r>
  <r>
    <s v="ORD-10831"/>
    <x v="863"/>
    <s v="Karen Romano"/>
    <x v="1"/>
    <x v="17"/>
    <x v="3"/>
    <x v="1"/>
    <x v="12"/>
    <n v="4"/>
    <n v="21.32"/>
    <x v="1"/>
    <n v="68.22"/>
    <n v="14.03"/>
    <n v="15.81"/>
    <x v="2"/>
  </r>
  <r>
    <s v="ORD-10565"/>
    <x v="864"/>
    <s v="Thomas Laurent"/>
    <x v="2"/>
    <x v="0"/>
    <x v="0"/>
    <x v="1"/>
    <x v="12"/>
    <n v="4"/>
    <n v="13.79"/>
    <x v="0"/>
    <n v="55.16"/>
    <n v="14.12"/>
    <n v="16.22"/>
    <x v="2"/>
  </r>
  <r>
    <s v="ORD-10678"/>
    <x v="864"/>
    <s v="Raj Patel"/>
    <x v="0"/>
    <x v="13"/>
    <x v="0"/>
    <x v="1"/>
    <x v="2"/>
    <n v="2"/>
    <n v="14.04"/>
    <x v="2"/>
    <n v="23.87"/>
    <n v="7.52"/>
    <n v="3.71"/>
    <x v="0"/>
  </r>
  <r>
    <s v="ORD-10758"/>
    <x v="865"/>
    <s v="Jessica Thomas"/>
    <x v="0"/>
    <x v="1"/>
    <x v="1"/>
    <x v="1"/>
    <x v="19"/>
    <n v="1"/>
    <n v="13.54"/>
    <x v="4"/>
    <n v="12.86"/>
    <n v="8.16"/>
    <n v="-1.39"/>
    <x v="1"/>
  </r>
  <r>
    <s v="ORD-11787"/>
    <x v="866"/>
    <s v="Omar Nilsson"/>
    <x v="0"/>
    <x v="13"/>
    <x v="0"/>
    <x v="0"/>
    <x v="18"/>
    <n v="3"/>
    <n v="73.819999999999993"/>
    <x v="4"/>
    <n v="210.39"/>
    <n v="11.99"/>
    <n v="76.599999999999994"/>
    <x v="0"/>
  </r>
  <r>
    <s v="ORD-10086"/>
    <x v="867"/>
    <s v="Joseph Zhang"/>
    <x v="1"/>
    <x v="19"/>
    <x v="1"/>
    <x v="1"/>
    <x v="38"/>
    <n v="9"/>
    <n v="9.0399999999999991"/>
    <x v="0"/>
    <n v="81.36"/>
    <n v="25.6"/>
    <n v="19.149999999999999"/>
    <x v="0"/>
  </r>
  <r>
    <s v="ORD-10682"/>
    <x v="867"/>
    <s v="Clara Fischer"/>
    <x v="0"/>
    <x v="2"/>
    <x v="0"/>
    <x v="1"/>
    <x v="20"/>
    <n v="3"/>
    <n v="8"/>
    <x v="4"/>
    <n v="22.8"/>
    <n v="12.01"/>
    <n v="-0.01"/>
    <x v="2"/>
  </r>
  <r>
    <s v="ORD-11102"/>
    <x v="867"/>
    <s v="William Sato"/>
    <x v="0"/>
    <x v="3"/>
    <x v="1"/>
    <x v="0"/>
    <x v="35"/>
    <n v="7"/>
    <n v="41.83"/>
    <x v="4"/>
    <n v="278.17"/>
    <n v="10.79"/>
    <n v="106.33"/>
    <x v="2"/>
  </r>
  <r>
    <s v="ORD-11407"/>
    <x v="867"/>
    <s v="Emma Thompson"/>
    <x v="0"/>
    <x v="2"/>
    <x v="0"/>
    <x v="1"/>
    <x v="6"/>
    <n v="3"/>
    <n v="17.07"/>
    <x v="5"/>
    <n v="35.85"/>
    <n v="12.2"/>
    <n v="0.61"/>
    <x v="2"/>
  </r>
  <r>
    <s v="ORD-10303"/>
    <x v="868"/>
    <s v="Diego Williams"/>
    <x v="1"/>
    <x v="17"/>
    <x v="3"/>
    <x v="0"/>
    <x v="7"/>
    <n v="9"/>
    <n v="34.21"/>
    <x v="4"/>
    <n v="292.5"/>
    <n v="13.63"/>
    <n v="109.53"/>
    <x v="1"/>
  </r>
  <r>
    <s v="ORD-10773"/>
    <x v="868"/>
    <s v="Susan Ali"/>
    <x v="1"/>
    <x v="16"/>
    <x v="3"/>
    <x v="3"/>
    <x v="24"/>
    <n v="4"/>
    <n v="71.05"/>
    <x v="2"/>
    <n v="241.57"/>
    <n v="11.85"/>
    <n v="87.62"/>
    <x v="1"/>
  </r>
  <r>
    <s v="ORD-10902"/>
    <x v="868"/>
    <s v="Olga Davis"/>
    <x v="0"/>
    <x v="17"/>
    <x v="3"/>
    <x v="2"/>
    <x v="39"/>
    <n v="1"/>
    <n v="198.02"/>
    <x v="3"/>
    <n v="178.22"/>
    <n v="9.93"/>
    <n v="49.48"/>
    <x v="0"/>
  </r>
  <r>
    <s v="ORD-11222"/>
    <x v="868"/>
    <s v="Fatima Fischer"/>
    <x v="0"/>
    <x v="2"/>
    <x v="0"/>
    <x v="2"/>
    <x v="36"/>
    <n v="2"/>
    <n v="280.54000000000002"/>
    <x v="5"/>
    <n v="392.76"/>
    <n v="6.47"/>
    <n v="49.64"/>
    <x v="0"/>
  </r>
  <r>
    <s v="ORD-10062"/>
    <x v="869"/>
    <s v="Liam Martin"/>
    <x v="1"/>
    <x v="12"/>
    <x v="4"/>
    <x v="3"/>
    <x v="13"/>
    <n v="3"/>
    <n v="112.34"/>
    <x v="4"/>
    <n v="320.17"/>
    <n v="12.63"/>
    <n v="139.03"/>
    <x v="1"/>
  </r>
  <r>
    <s v="ORD-11274"/>
    <x v="869"/>
    <s v="Kenji Hassan"/>
    <x v="0"/>
    <x v="17"/>
    <x v="3"/>
    <x v="2"/>
    <x v="39"/>
    <n v="2"/>
    <n v="188.36"/>
    <x v="0"/>
    <n v="376.72"/>
    <n v="13.35"/>
    <n v="137.34"/>
    <x v="3"/>
  </r>
  <r>
    <s v="ORD-11131"/>
    <x v="870"/>
    <s v="Xiao Ferrari"/>
    <x v="2"/>
    <x v="2"/>
    <x v="0"/>
    <x v="0"/>
    <x v="29"/>
    <n v="2"/>
    <n v="23.95"/>
    <x v="4"/>
    <n v="45.5"/>
    <n v="7.35"/>
    <n v="11.8"/>
    <x v="1"/>
  </r>
  <r>
    <s v="ORD-11367"/>
    <x v="870"/>
    <s v="Jamal Park"/>
    <x v="1"/>
    <x v="11"/>
    <x v="2"/>
    <x v="3"/>
    <x v="9"/>
    <n v="2"/>
    <n v="25.11"/>
    <x v="4"/>
    <n v="47.71"/>
    <n v="12.85"/>
    <n v="9.75"/>
    <x v="3"/>
  </r>
  <r>
    <s v="ORD-11896"/>
    <x v="870"/>
    <s v="Noah Thomas"/>
    <x v="0"/>
    <x v="17"/>
    <x v="3"/>
    <x v="1"/>
    <x v="38"/>
    <n v="2"/>
    <n v="7.1"/>
    <x v="3"/>
    <n v="12.78"/>
    <n v="10.79"/>
    <n v="-4.4000000000000004"/>
    <x v="2"/>
  </r>
  <r>
    <s v="ORD-10749"/>
    <x v="871"/>
    <s v="Jessica Hassan"/>
    <x v="2"/>
    <x v="12"/>
    <x v="4"/>
    <x v="1"/>
    <x v="12"/>
    <n v="7"/>
    <n v="12.82"/>
    <x v="4"/>
    <n v="85.25"/>
    <n v="25.24"/>
    <n v="19.63"/>
    <x v="3"/>
  </r>
  <r>
    <s v="ORD-10414"/>
    <x v="872"/>
    <s v="Layla Park"/>
    <x v="1"/>
    <x v="9"/>
    <x v="3"/>
    <x v="1"/>
    <x v="20"/>
    <n v="1"/>
    <n v="8.8699999999999992"/>
    <x v="4"/>
    <n v="8.43"/>
    <n v="11.23"/>
    <n v="-6.79"/>
    <x v="1"/>
  </r>
  <r>
    <s v="ORD-10921"/>
    <x v="873"/>
    <s v="Christopher Romano"/>
    <x v="1"/>
    <x v="1"/>
    <x v="1"/>
    <x v="2"/>
    <x v="8"/>
    <n v="11"/>
    <n v="121"/>
    <x v="3"/>
    <n v="1197.9000000000001"/>
    <n v="25.42"/>
    <n v="373.88"/>
    <x v="2"/>
  </r>
  <r>
    <s v="ORD-11805"/>
    <x v="873"/>
    <s v="Joseph Martin"/>
    <x v="0"/>
    <x v="16"/>
    <x v="3"/>
    <x v="2"/>
    <x v="34"/>
    <n v="1"/>
    <n v="24.61"/>
    <x v="2"/>
    <n v="20.92"/>
    <n v="10.08"/>
    <n v="-3.93"/>
    <x v="2"/>
  </r>
  <r>
    <s v="ORD-10013"/>
    <x v="874"/>
    <s v="Layla Yamamoto"/>
    <x v="2"/>
    <x v="10"/>
    <x v="3"/>
    <x v="2"/>
    <x v="39"/>
    <n v="2"/>
    <n v="118.2"/>
    <x v="3"/>
    <n v="212.76"/>
    <n v="10.92"/>
    <n v="60"/>
    <x v="1"/>
  </r>
  <r>
    <s v="ORD-10333"/>
    <x v="875"/>
    <s v="Clara Hassan"/>
    <x v="0"/>
    <x v="14"/>
    <x v="1"/>
    <x v="0"/>
    <x v="7"/>
    <n v="3"/>
    <n v="75.55"/>
    <x v="2"/>
    <n v="192.65"/>
    <n v="11.85"/>
    <n v="56.14"/>
    <x v="2"/>
  </r>
  <r>
    <s v="ORD-11183"/>
    <x v="875"/>
    <s v="Sarah Nilsson"/>
    <x v="0"/>
    <x v="9"/>
    <x v="3"/>
    <x v="0"/>
    <x v="35"/>
    <n v="4"/>
    <n v="23.57"/>
    <x v="3"/>
    <n v="84.85"/>
    <n v="16.899999999999999"/>
    <n v="16.100000000000001"/>
    <x v="1"/>
  </r>
  <r>
    <s v="ORD-11710"/>
    <x v="875"/>
    <s v="Felix Singh"/>
    <x v="1"/>
    <x v="9"/>
    <x v="3"/>
    <x v="3"/>
    <x v="13"/>
    <n v="1"/>
    <n v="45.56"/>
    <x v="0"/>
    <n v="45.56"/>
    <n v="11.16"/>
    <n v="11.62"/>
    <x v="1"/>
  </r>
  <r>
    <s v="ORD-10130"/>
    <x v="876"/>
    <s v="Thomas Suzuki"/>
    <x v="0"/>
    <x v="11"/>
    <x v="2"/>
    <x v="0"/>
    <x v="28"/>
    <n v="8"/>
    <n v="27.29"/>
    <x v="4"/>
    <n v="207.4"/>
    <n v="30.16"/>
    <n v="57.16"/>
    <x v="2"/>
  </r>
  <r>
    <s v="ORD-10593"/>
    <x v="876"/>
    <s v="Emma Suzuki"/>
    <x v="2"/>
    <x v="8"/>
    <x v="1"/>
    <x v="2"/>
    <x v="34"/>
    <n v="1"/>
    <n v="38.28"/>
    <x v="3"/>
    <n v="34.450000000000003"/>
    <n v="7.59"/>
    <n v="3.89"/>
    <x v="0"/>
  </r>
  <r>
    <s v="ORD-10060"/>
    <x v="877"/>
    <s v="Raj Rossi"/>
    <x v="1"/>
    <x v="10"/>
    <x v="3"/>
    <x v="1"/>
    <x v="10"/>
    <n v="3"/>
    <n v="4.2699999999999996"/>
    <x v="3"/>
    <n v="11.53"/>
    <n v="13.45"/>
    <n v="-7.68"/>
    <x v="1"/>
  </r>
  <r>
    <s v="ORD-10190"/>
    <x v="877"/>
    <s v="Olga Miller"/>
    <x v="1"/>
    <x v="2"/>
    <x v="0"/>
    <x v="1"/>
    <x v="23"/>
    <n v="2"/>
    <n v="9.8699999999999992"/>
    <x v="4"/>
    <n v="18.75"/>
    <n v="8.7200000000000006"/>
    <n v="1.1499999999999999"/>
    <x v="2"/>
  </r>
  <r>
    <s v="ORD-11163"/>
    <x v="877"/>
    <s v="Jessica Pereira"/>
    <x v="1"/>
    <x v="12"/>
    <x v="4"/>
    <x v="1"/>
    <x v="38"/>
    <n v="6"/>
    <n v="10.63"/>
    <x v="0"/>
    <n v="63.78"/>
    <n v="17.670000000000002"/>
    <n v="17.41"/>
    <x v="1"/>
  </r>
  <r>
    <s v="ORD-10933"/>
    <x v="878"/>
    <s v="Raj White"/>
    <x v="2"/>
    <x v="19"/>
    <x v="1"/>
    <x v="1"/>
    <x v="17"/>
    <n v="2"/>
    <n v="13.2"/>
    <x v="4"/>
    <n v="25.08"/>
    <n v="9.67"/>
    <n v="3.53"/>
    <x v="3"/>
  </r>
  <r>
    <s v="ORD-11172"/>
    <x v="878"/>
    <s v="Kenji Wang"/>
    <x v="1"/>
    <x v="5"/>
    <x v="3"/>
    <x v="0"/>
    <x v="29"/>
    <n v="13"/>
    <n v="31.37"/>
    <x v="3"/>
    <n v="367.03"/>
    <n v="38.630000000000003"/>
    <n v="104.1"/>
    <x v="0"/>
  </r>
  <r>
    <s v="ORD-10957"/>
    <x v="879"/>
    <s v="Omar Ali"/>
    <x v="0"/>
    <x v="1"/>
    <x v="1"/>
    <x v="2"/>
    <x v="32"/>
    <n v="1"/>
    <n v="66.790000000000006"/>
    <x v="3"/>
    <n v="60.11"/>
    <n v="8.82"/>
    <n v="11.22"/>
    <x v="2"/>
  </r>
  <r>
    <s v="ORD-11123"/>
    <x v="880"/>
    <s v="Emma Laurent"/>
    <x v="1"/>
    <x v="16"/>
    <x v="3"/>
    <x v="1"/>
    <x v="23"/>
    <n v="1"/>
    <n v="17.12"/>
    <x v="2"/>
    <n v="14.55"/>
    <n v="10.37"/>
    <n v="-3.52"/>
    <x v="1"/>
  </r>
  <r>
    <s v="ORD-11889"/>
    <x v="880"/>
    <s v="Mary Yamamoto"/>
    <x v="1"/>
    <x v="5"/>
    <x v="3"/>
    <x v="2"/>
    <x v="15"/>
    <n v="12"/>
    <n v="189.49"/>
    <x v="2"/>
    <n v="1932.8"/>
    <n v="34.81"/>
    <n v="533.66"/>
    <x v="1"/>
  </r>
  <r>
    <s v="ORD-10472"/>
    <x v="881"/>
    <s v="Joseph Chen"/>
    <x v="1"/>
    <x v="0"/>
    <x v="0"/>
    <x v="3"/>
    <x v="13"/>
    <n v="10"/>
    <n v="72.25"/>
    <x v="4"/>
    <n v="686.38"/>
    <n v="12.64"/>
    <n v="312.49"/>
    <x v="1"/>
  </r>
  <r>
    <s v="ORD-11151"/>
    <x v="881"/>
    <s v="James Khan"/>
    <x v="2"/>
    <x v="0"/>
    <x v="0"/>
    <x v="1"/>
    <x v="25"/>
    <n v="3"/>
    <n v="12.71"/>
    <x v="3"/>
    <n v="34.32"/>
    <n v="9.81"/>
    <n v="7.35"/>
    <x v="3"/>
  </r>
  <r>
    <s v="ORD-11843"/>
    <x v="881"/>
    <s v="Xiao Romano"/>
    <x v="0"/>
    <x v="17"/>
    <x v="3"/>
    <x v="2"/>
    <x v="34"/>
    <n v="4"/>
    <n v="34.17"/>
    <x v="3"/>
    <n v="123.01"/>
    <n v="18.86"/>
    <n v="22.14"/>
    <x v="2"/>
  </r>
  <r>
    <s v="ORD-11927"/>
    <x v="881"/>
    <s v="Pierre Suzuki"/>
    <x v="0"/>
    <x v="7"/>
    <x v="4"/>
    <x v="1"/>
    <x v="20"/>
    <n v="2"/>
    <n v="12.44"/>
    <x v="3"/>
    <n v="22.39"/>
    <n v="11.74"/>
    <n v="-0.55000000000000004"/>
    <x v="2"/>
  </r>
  <r>
    <s v="ORD-11648"/>
    <x v="882"/>
    <s v="Lucas Clark"/>
    <x v="2"/>
    <x v="15"/>
    <x v="2"/>
    <x v="2"/>
    <x v="21"/>
    <n v="1"/>
    <n v="41.13"/>
    <x v="4"/>
    <n v="39.07"/>
    <n v="13.01"/>
    <n v="1.38"/>
    <x v="2"/>
  </r>
  <r>
    <s v="ORD-10518"/>
    <x v="883"/>
    <s v="Sarah Harris"/>
    <x v="1"/>
    <x v="9"/>
    <x v="3"/>
    <x v="1"/>
    <x v="23"/>
    <n v="8"/>
    <n v="19.350000000000001"/>
    <x v="0"/>
    <n v="154.80000000000001"/>
    <n v="27.15"/>
    <n v="57.99"/>
    <x v="1"/>
  </r>
  <r>
    <s v="ORD-11251"/>
    <x v="883"/>
    <s v="Joseph Fischer"/>
    <x v="0"/>
    <x v="0"/>
    <x v="0"/>
    <x v="3"/>
    <x v="16"/>
    <n v="2"/>
    <n v="41.19"/>
    <x v="0"/>
    <n v="82.38"/>
    <n v="9.35"/>
    <n v="31.84"/>
    <x v="1"/>
  </r>
  <r>
    <s v="ORD-10327"/>
    <x v="884"/>
    <s v="Oscar Martin"/>
    <x v="1"/>
    <x v="9"/>
    <x v="3"/>
    <x v="0"/>
    <x v="0"/>
    <n v="1"/>
    <n v="121.88"/>
    <x v="2"/>
    <n v="103.6"/>
    <n v="10.32"/>
    <n v="26.25"/>
    <x v="1"/>
  </r>
  <r>
    <s v="ORD-10572"/>
    <x v="884"/>
    <s v="Oscar Davis"/>
    <x v="1"/>
    <x v="9"/>
    <x v="3"/>
    <x v="0"/>
    <x v="3"/>
    <n v="2"/>
    <n v="48.3"/>
    <x v="0"/>
    <n v="96.6"/>
    <n v="10.11"/>
    <n v="33.36"/>
    <x v="1"/>
  </r>
  <r>
    <s v="ORD-10864"/>
    <x v="884"/>
    <s v="Olga Robinson"/>
    <x v="0"/>
    <x v="15"/>
    <x v="2"/>
    <x v="2"/>
    <x v="34"/>
    <n v="1"/>
    <n v="40.369999999999997"/>
    <x v="4"/>
    <n v="38.35"/>
    <n v="12.87"/>
    <n v="1.26"/>
    <x v="3"/>
  </r>
  <r>
    <s v="ORD-11604"/>
    <x v="884"/>
    <s v="Mary Jackson"/>
    <x v="1"/>
    <x v="2"/>
    <x v="0"/>
    <x v="1"/>
    <x v="20"/>
    <n v="1"/>
    <n v="9.9499999999999993"/>
    <x v="3"/>
    <n v="8.9600000000000009"/>
    <n v="5.73"/>
    <n v="-1.25"/>
    <x v="2"/>
  </r>
  <r>
    <s v="ORD-11933"/>
    <x v="884"/>
    <s v="Maria Martin"/>
    <x v="1"/>
    <x v="5"/>
    <x v="3"/>
    <x v="3"/>
    <x v="30"/>
    <n v="3"/>
    <n v="26.38"/>
    <x v="3"/>
    <n v="71.23"/>
    <n v="16.45"/>
    <n v="15.21"/>
    <x v="2"/>
  </r>
  <r>
    <s v="ORD-10276"/>
    <x v="885"/>
    <s v="Susan Weber"/>
    <x v="1"/>
    <x v="13"/>
    <x v="0"/>
    <x v="3"/>
    <x v="16"/>
    <n v="2"/>
    <n v="46.65"/>
    <x v="0"/>
    <n v="93.3"/>
    <n v="7.99"/>
    <n v="38.659999999999997"/>
    <x v="1"/>
  </r>
  <r>
    <s v="ORD-10353"/>
    <x v="885"/>
    <s v="Lucas Sato"/>
    <x v="1"/>
    <x v="8"/>
    <x v="1"/>
    <x v="3"/>
    <x v="33"/>
    <n v="3"/>
    <n v="28.76"/>
    <x v="0"/>
    <n v="86.28"/>
    <n v="14.03"/>
    <n v="29.11"/>
    <x v="0"/>
  </r>
  <r>
    <s v="ORD-11374"/>
    <x v="885"/>
    <s v="Robert Martinez"/>
    <x v="1"/>
    <x v="13"/>
    <x v="0"/>
    <x v="0"/>
    <x v="0"/>
    <n v="4"/>
    <n v="128.26"/>
    <x v="1"/>
    <n v="410.43"/>
    <n v="9.52"/>
    <n v="118.74"/>
    <x v="0"/>
  </r>
  <r>
    <s v="ORD-11779"/>
    <x v="885"/>
    <s v="Richard Martinez"/>
    <x v="2"/>
    <x v="16"/>
    <x v="3"/>
    <x v="1"/>
    <x v="25"/>
    <n v="1"/>
    <n v="11.64"/>
    <x v="2"/>
    <n v="9.89"/>
    <n v="10.8"/>
    <n v="-6.15"/>
    <x v="2"/>
  </r>
  <r>
    <s v="ORD-10352"/>
    <x v="886"/>
    <s v="Chen Patel"/>
    <x v="0"/>
    <x v="4"/>
    <x v="2"/>
    <x v="1"/>
    <x v="12"/>
    <n v="2"/>
    <n v="13.26"/>
    <x v="3"/>
    <n v="23.87"/>
    <n v="15.22"/>
    <n v="-3.28"/>
    <x v="2"/>
  </r>
  <r>
    <s v="ORD-11596"/>
    <x v="886"/>
    <s v="Richard Romano"/>
    <x v="0"/>
    <x v="4"/>
    <x v="2"/>
    <x v="2"/>
    <x v="34"/>
    <n v="4"/>
    <n v="56.46"/>
    <x v="0"/>
    <n v="225.84"/>
    <n v="20.67"/>
    <n v="69.67"/>
    <x v="1"/>
  </r>
  <r>
    <s v="ORD-10173"/>
    <x v="887"/>
    <s v="Olga Nilsson"/>
    <x v="2"/>
    <x v="0"/>
    <x v="0"/>
    <x v="0"/>
    <x v="1"/>
    <n v="2"/>
    <n v="130.57"/>
    <x v="4"/>
    <n v="248.08"/>
    <n v="9.18"/>
    <n v="95.27"/>
    <x v="1"/>
  </r>
  <r>
    <s v="ORD-10272"/>
    <x v="887"/>
    <s v="Jennifer Clark"/>
    <x v="2"/>
    <x v="1"/>
    <x v="1"/>
    <x v="2"/>
    <x v="5"/>
    <n v="7"/>
    <n v="107.98"/>
    <x v="4"/>
    <n v="718.07"/>
    <n v="13.14"/>
    <n v="251.41"/>
    <x v="0"/>
  </r>
  <r>
    <s v="ORD-10888"/>
    <x v="887"/>
    <s v="Ahmed Dubois"/>
    <x v="1"/>
    <x v="1"/>
    <x v="1"/>
    <x v="0"/>
    <x v="29"/>
    <n v="1"/>
    <n v="45.07"/>
    <x v="4"/>
    <n v="42.82"/>
    <n v="9.42"/>
    <n v="8.61"/>
    <x v="0"/>
  </r>
  <r>
    <s v="ORD-11404"/>
    <x v="888"/>
    <s v="Karen Garcia"/>
    <x v="0"/>
    <x v="15"/>
    <x v="2"/>
    <x v="0"/>
    <x v="22"/>
    <n v="1"/>
    <n v="87.05"/>
    <x v="6"/>
    <n v="65.290000000000006"/>
    <n v="12.28"/>
    <n v="5.13"/>
    <x v="1"/>
  </r>
  <r>
    <s v="ORD-11693"/>
    <x v="888"/>
    <s v="Carlos Rodriguez"/>
    <x v="0"/>
    <x v="18"/>
    <x v="4"/>
    <x v="2"/>
    <x v="5"/>
    <n v="3"/>
    <n v="194.57"/>
    <x v="0"/>
    <n v="583.71"/>
    <n v="13.8"/>
    <n v="219.68"/>
    <x v="1"/>
  </r>
  <r>
    <s v="ORD-10922"/>
    <x v="889"/>
    <s v="Mia Tanaka"/>
    <x v="2"/>
    <x v="14"/>
    <x v="1"/>
    <x v="2"/>
    <x v="14"/>
    <n v="1"/>
    <n v="416.05"/>
    <x v="1"/>
    <n v="332.84"/>
    <n v="8.18"/>
    <n v="75.03"/>
    <x v="1"/>
  </r>
  <r>
    <s v="ORD-10963"/>
    <x v="889"/>
    <s v="Ava Laurent"/>
    <x v="0"/>
    <x v="2"/>
    <x v="0"/>
    <x v="0"/>
    <x v="31"/>
    <n v="1"/>
    <n v="98.02"/>
    <x v="6"/>
    <n v="73.52"/>
    <n v="6.56"/>
    <n v="13.05"/>
    <x v="1"/>
  </r>
  <r>
    <s v="ORD-10155"/>
    <x v="890"/>
    <s v="Li Kim"/>
    <x v="1"/>
    <x v="9"/>
    <x v="3"/>
    <x v="2"/>
    <x v="34"/>
    <n v="3"/>
    <n v="18.510000000000002"/>
    <x v="0"/>
    <n v="55.53"/>
    <n v="13.79"/>
    <n v="8.42"/>
    <x v="2"/>
  </r>
  <r>
    <s v="ORD-11255"/>
    <x v="891"/>
    <s v="Amina Smith"/>
    <x v="1"/>
    <x v="2"/>
    <x v="0"/>
    <x v="1"/>
    <x v="17"/>
    <n v="7"/>
    <n v="12.44"/>
    <x v="1"/>
    <n v="69.66"/>
    <n v="16.3"/>
    <n v="14.17"/>
    <x v="0"/>
  </r>
  <r>
    <s v="ORD-10096"/>
    <x v="892"/>
    <s v="Olga Davis"/>
    <x v="1"/>
    <x v="10"/>
    <x v="3"/>
    <x v="1"/>
    <x v="6"/>
    <n v="12"/>
    <n v="11.75"/>
    <x v="0"/>
    <n v="141"/>
    <n v="19.91"/>
    <n v="57.64"/>
    <x v="0"/>
  </r>
  <r>
    <s v="ORD-10760"/>
    <x v="892"/>
    <s v="Marco Taylor"/>
    <x v="1"/>
    <x v="15"/>
    <x v="2"/>
    <x v="2"/>
    <x v="39"/>
    <n v="3"/>
    <n v="242.14"/>
    <x v="2"/>
    <n v="617.46"/>
    <n v="15.04"/>
    <n v="166.57"/>
    <x v="3"/>
  </r>
  <r>
    <s v="ORD-11898"/>
    <x v="892"/>
    <s v="Xiao Johansson"/>
    <x v="2"/>
    <x v="2"/>
    <x v="0"/>
    <x v="1"/>
    <x v="19"/>
    <n v="1"/>
    <n v="9.32"/>
    <x v="0"/>
    <n v="9.32"/>
    <n v="6.23"/>
    <n v="-1.1000000000000001"/>
    <x v="0"/>
  </r>
  <r>
    <s v="ORD-10723"/>
    <x v="893"/>
    <s v="Hanna Martinez"/>
    <x v="0"/>
    <x v="14"/>
    <x v="1"/>
    <x v="1"/>
    <x v="10"/>
    <n v="4"/>
    <n v="6.29"/>
    <x v="3"/>
    <n v="22.64"/>
    <n v="14.16"/>
    <n v="-2.84"/>
    <x v="1"/>
  </r>
  <r>
    <s v="ORD-10943"/>
    <x v="893"/>
    <s v="Noah Jones"/>
    <x v="1"/>
    <x v="10"/>
    <x v="3"/>
    <x v="1"/>
    <x v="2"/>
    <n v="2"/>
    <n v="14.78"/>
    <x v="0"/>
    <n v="29.56"/>
    <n v="12.49"/>
    <n v="3.77"/>
    <x v="1"/>
  </r>
  <r>
    <s v="ORD-11342"/>
    <x v="893"/>
    <s v="Nadia Nilsson"/>
    <x v="0"/>
    <x v="16"/>
    <x v="3"/>
    <x v="2"/>
    <x v="5"/>
    <n v="5"/>
    <n v="183.87"/>
    <x v="3"/>
    <n v="827.42"/>
    <n v="14.56"/>
    <n v="261.25"/>
    <x v="0"/>
  </r>
  <r>
    <s v="ORD-10142"/>
    <x v="894"/>
    <s v="Ingrid Li"/>
    <x v="1"/>
    <x v="1"/>
    <x v="1"/>
    <x v="0"/>
    <x v="29"/>
    <n v="1"/>
    <n v="52.93"/>
    <x v="0"/>
    <n v="52.93"/>
    <n v="8.1300000000000008"/>
    <n v="15.69"/>
    <x v="1"/>
  </r>
  <r>
    <s v="ORD-10186"/>
    <x v="894"/>
    <s v="Sophie Khan"/>
    <x v="1"/>
    <x v="4"/>
    <x v="2"/>
    <x v="0"/>
    <x v="31"/>
    <n v="5"/>
    <n v="68.790000000000006"/>
    <x v="0"/>
    <n v="343.95"/>
    <n v="20.77"/>
    <n v="134.01"/>
    <x v="0"/>
  </r>
  <r>
    <s v="ORD-11009"/>
    <x v="895"/>
    <s v="Kenji Johnson"/>
    <x v="2"/>
    <x v="0"/>
    <x v="0"/>
    <x v="0"/>
    <x v="28"/>
    <n v="10"/>
    <n v="26.45"/>
    <x v="0"/>
    <n v="264.5"/>
    <n v="23.7"/>
    <n v="95.32"/>
    <x v="2"/>
  </r>
  <r>
    <s v="ORD-11254"/>
    <x v="896"/>
    <s v="Barbara Williams"/>
    <x v="0"/>
    <x v="13"/>
    <x v="0"/>
    <x v="3"/>
    <x v="27"/>
    <n v="3"/>
    <n v="54.8"/>
    <x v="3"/>
    <n v="147.96"/>
    <n v="10.130000000000001"/>
    <n v="55.63"/>
    <x v="3"/>
  </r>
  <r>
    <s v="ORD-11692"/>
    <x v="896"/>
    <s v="Ingrid Suzuki"/>
    <x v="1"/>
    <x v="3"/>
    <x v="1"/>
    <x v="2"/>
    <x v="8"/>
    <n v="2"/>
    <n v="46.63"/>
    <x v="4"/>
    <n v="88.6"/>
    <n v="11.27"/>
    <n v="21.37"/>
    <x v="0"/>
  </r>
  <r>
    <s v="ORD-10268"/>
    <x v="897"/>
    <s v="Elizabeth Fischer"/>
    <x v="2"/>
    <x v="3"/>
    <x v="1"/>
    <x v="0"/>
    <x v="0"/>
    <n v="1"/>
    <n v="223.52"/>
    <x v="1"/>
    <n v="178.82"/>
    <n v="8.19"/>
    <n v="47.69"/>
    <x v="0"/>
  </r>
  <r>
    <s v="ORD-11168"/>
    <x v="897"/>
    <s v="Pierre Robinson"/>
    <x v="1"/>
    <x v="2"/>
    <x v="0"/>
    <x v="3"/>
    <x v="9"/>
    <n v="1"/>
    <n v="63.87"/>
    <x v="1"/>
    <n v="51.1"/>
    <n v="6.15"/>
    <n v="13.02"/>
    <x v="2"/>
  </r>
  <r>
    <s v="ORD-10378"/>
    <x v="898"/>
    <s v="Ingrid Zhang"/>
    <x v="0"/>
    <x v="9"/>
    <x v="3"/>
    <x v="0"/>
    <x v="31"/>
    <n v="2"/>
    <n v="130.38999999999999"/>
    <x v="2"/>
    <n v="221.66"/>
    <n v="10.61"/>
    <n v="67.62"/>
    <x v="2"/>
  </r>
  <r>
    <s v="ORD-11034"/>
    <x v="898"/>
    <s v="Ali Jackson"/>
    <x v="1"/>
    <x v="6"/>
    <x v="2"/>
    <x v="0"/>
    <x v="22"/>
    <n v="1"/>
    <n v="85.33"/>
    <x v="0"/>
    <n v="85.33"/>
    <n v="12.49"/>
    <n v="25.91"/>
    <x v="0"/>
  </r>
  <r>
    <s v="ORD-10077"/>
    <x v="899"/>
    <s v="Carlos Thomas"/>
    <x v="1"/>
    <x v="19"/>
    <x v="1"/>
    <x v="2"/>
    <x v="32"/>
    <n v="2"/>
    <n v="70.680000000000007"/>
    <x v="2"/>
    <n v="120.16"/>
    <n v="9.93"/>
    <n v="25.41"/>
    <x v="3"/>
  </r>
  <r>
    <s v="ORD-10938"/>
    <x v="899"/>
    <s v="Kenji Harris"/>
    <x v="1"/>
    <x v="19"/>
    <x v="1"/>
    <x v="3"/>
    <x v="13"/>
    <n v="5"/>
    <n v="55.45"/>
    <x v="2"/>
    <n v="235.66"/>
    <n v="16.489999999999998"/>
    <n v="80.55"/>
    <x v="3"/>
  </r>
  <r>
    <s v="ORD-11286"/>
    <x v="899"/>
    <s v="Robert Sato"/>
    <x v="1"/>
    <x v="13"/>
    <x v="0"/>
    <x v="1"/>
    <x v="25"/>
    <n v="2"/>
    <n v="9.4499999999999993"/>
    <x v="2"/>
    <n v="16.059999999999999"/>
    <n v="9.31"/>
    <n v="-1.76"/>
    <x v="2"/>
  </r>
  <r>
    <s v="ORD-11409"/>
    <x v="900"/>
    <s v="Chen Taylor"/>
    <x v="2"/>
    <x v="17"/>
    <x v="3"/>
    <x v="0"/>
    <x v="1"/>
    <n v="1"/>
    <n v="83.9"/>
    <x v="2"/>
    <n v="71.31"/>
    <n v="11.12"/>
    <n v="14.04"/>
    <x v="1"/>
  </r>
  <r>
    <s v="ORD-11612"/>
    <x v="900"/>
    <s v="Xiao Davis"/>
    <x v="1"/>
    <x v="4"/>
    <x v="2"/>
    <x v="3"/>
    <x v="26"/>
    <n v="4"/>
    <n v="30.28"/>
    <x v="0"/>
    <n v="121.12"/>
    <n v="16.89"/>
    <n v="43.67"/>
    <x v="1"/>
  </r>
  <r>
    <s v="ORD-10577"/>
    <x v="901"/>
    <s v="Yuki Kim"/>
    <x v="1"/>
    <x v="11"/>
    <x v="2"/>
    <x v="0"/>
    <x v="0"/>
    <n v="1"/>
    <n v="101.37"/>
    <x v="2"/>
    <n v="86.16"/>
    <n v="13.18"/>
    <n v="17.23"/>
    <x v="2"/>
  </r>
  <r>
    <s v="ORD-11570"/>
    <x v="901"/>
    <s v="Isabella Thomas"/>
    <x v="2"/>
    <x v="16"/>
    <x v="3"/>
    <x v="3"/>
    <x v="11"/>
    <n v="5"/>
    <n v="88.14"/>
    <x v="3"/>
    <n v="396.63"/>
    <n v="15.38"/>
    <n v="160.9"/>
    <x v="2"/>
  </r>
  <r>
    <s v="ORD-10592"/>
    <x v="902"/>
    <s v="Priya Thomas"/>
    <x v="2"/>
    <x v="2"/>
    <x v="0"/>
    <x v="1"/>
    <x v="12"/>
    <n v="1"/>
    <n v="23.01"/>
    <x v="4"/>
    <n v="21.86"/>
    <n v="6.85"/>
    <n v="4.66"/>
    <x v="2"/>
  </r>
  <r>
    <s v="ORD-10419"/>
    <x v="903"/>
    <s v="Ayumi Russo"/>
    <x v="1"/>
    <x v="14"/>
    <x v="1"/>
    <x v="0"/>
    <x v="35"/>
    <n v="1"/>
    <n v="48.39"/>
    <x v="2"/>
    <n v="41.13"/>
    <n v="8.9"/>
    <n v="5.62"/>
    <x v="1"/>
  </r>
  <r>
    <s v="ORD-10766"/>
    <x v="903"/>
    <s v="Xiao Robinson"/>
    <x v="1"/>
    <x v="18"/>
    <x v="4"/>
    <x v="3"/>
    <x v="13"/>
    <n v="1"/>
    <n v="77.11"/>
    <x v="4"/>
    <n v="73.25"/>
    <n v="12.16"/>
    <n v="22.54"/>
    <x v="2"/>
  </r>
  <r>
    <s v="ORD-10372"/>
    <x v="904"/>
    <s v="Maria Leroy"/>
    <x v="1"/>
    <x v="14"/>
    <x v="1"/>
    <x v="3"/>
    <x v="9"/>
    <n v="7"/>
    <n v="61.68"/>
    <x v="3"/>
    <n v="388.58"/>
    <n v="24.46"/>
    <n v="148.24"/>
    <x v="3"/>
  </r>
  <r>
    <s v="ORD-10675"/>
    <x v="904"/>
    <s v="Sophie Clark"/>
    <x v="1"/>
    <x v="12"/>
    <x v="4"/>
    <x v="2"/>
    <x v="8"/>
    <n v="2"/>
    <n v="84.14"/>
    <x v="1"/>
    <n v="134.62"/>
    <n v="14.99"/>
    <n v="18.66"/>
    <x v="2"/>
  </r>
  <r>
    <s v="ORD-10188"/>
    <x v="905"/>
    <s v="Elizabeth MÃ¼ller"/>
    <x v="2"/>
    <x v="3"/>
    <x v="1"/>
    <x v="2"/>
    <x v="36"/>
    <n v="5"/>
    <n v="204.17"/>
    <x v="4"/>
    <n v="969.81"/>
    <n v="18.46"/>
    <n v="338.84"/>
    <x v="2"/>
  </r>
  <r>
    <s v="ORD-11353"/>
    <x v="905"/>
    <s v="Hanna Leroy"/>
    <x v="1"/>
    <x v="10"/>
    <x v="3"/>
    <x v="1"/>
    <x v="23"/>
    <n v="1"/>
    <n v="15.08"/>
    <x v="3"/>
    <n v="13.57"/>
    <n v="11.07"/>
    <n v="-4.29"/>
    <x v="2"/>
  </r>
  <r>
    <s v="ORD-11814"/>
    <x v="905"/>
    <s v="Jennifer Oliveira"/>
    <x v="1"/>
    <x v="17"/>
    <x v="3"/>
    <x v="2"/>
    <x v="39"/>
    <n v="1"/>
    <n v="177.9"/>
    <x v="3"/>
    <n v="160.11000000000001"/>
    <n v="10.23"/>
    <n v="43.14"/>
    <x v="2"/>
  </r>
  <r>
    <s v="ORD-10823"/>
    <x v="906"/>
    <s v="Linda Nilsson"/>
    <x v="1"/>
    <x v="19"/>
    <x v="1"/>
    <x v="2"/>
    <x v="8"/>
    <n v="5"/>
    <n v="104.73"/>
    <x v="0"/>
    <n v="523.65"/>
    <n v="19.100000000000001"/>
    <n v="190.36"/>
    <x v="2"/>
  </r>
  <r>
    <s v="ORD-10896"/>
    <x v="906"/>
    <s v="Ayumi Dubois"/>
    <x v="1"/>
    <x v="19"/>
    <x v="1"/>
    <x v="3"/>
    <x v="27"/>
    <n v="11"/>
    <n v="59.27"/>
    <x v="4"/>
    <n v="619.37"/>
    <n v="20.94"/>
    <n v="272.44"/>
    <x v="2"/>
  </r>
  <r>
    <s v="ORD-11148"/>
    <x v="906"/>
    <s v="Barbara Jones"/>
    <x v="1"/>
    <x v="1"/>
    <x v="1"/>
    <x v="0"/>
    <x v="3"/>
    <n v="6"/>
    <n v="31.79"/>
    <x v="2"/>
    <n v="162.13"/>
    <n v="15.19"/>
    <n v="42.03"/>
    <x v="3"/>
  </r>
  <r>
    <s v="ORD-11519"/>
    <x v="906"/>
    <s v="Maria Suzuki"/>
    <x v="2"/>
    <x v="1"/>
    <x v="1"/>
    <x v="3"/>
    <x v="30"/>
    <n v="5"/>
    <n v="9.5"/>
    <x v="4"/>
    <n v="45.12"/>
    <n v="14.25"/>
    <n v="7.12"/>
    <x v="1"/>
  </r>
  <r>
    <s v="ORD-11701"/>
    <x v="906"/>
    <s v="Susan Russo"/>
    <x v="2"/>
    <x v="16"/>
    <x v="3"/>
    <x v="3"/>
    <x v="30"/>
    <n v="11"/>
    <n v="28.27"/>
    <x v="0"/>
    <n v="310.97000000000003"/>
    <n v="36.229999999999997"/>
    <n v="119.2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BCB80-04A8-4617-8080-5789BDE901F5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8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1089A-6A06-418F-B467-6364DA528E45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8">
  <location ref="A3:B8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3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240C4-EB4B-4712-925C-CB3DD303ADF5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C9" firstHeaderRow="0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6">
    <i>
      <x v="1"/>
    </i>
    <i>
      <x v="3"/>
    </i>
    <i>
      <x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1" baseField="0" baseItem="0"/>
    <dataField name="Sum of Profit" fld="13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D9374-AE8B-4B83-B658-BAED6F9B0EE6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C24" firstHeaderRow="0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21">
        <item x="12"/>
        <item x="10"/>
        <item x="18"/>
        <item x="13"/>
        <item x="5"/>
        <item x="7"/>
        <item x="19"/>
        <item x="14"/>
        <item x="17"/>
        <item x="3"/>
        <item x="9"/>
        <item x="2"/>
        <item x="4"/>
        <item x="6"/>
        <item x="15"/>
        <item x="16"/>
        <item x="1"/>
        <item x="11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21">
    <i>
      <x v="11"/>
    </i>
    <i>
      <x v="3"/>
    </i>
    <i>
      <x v="19"/>
    </i>
    <i>
      <x v="10"/>
    </i>
    <i>
      <x v="18"/>
    </i>
    <i>
      <x v="7"/>
    </i>
    <i>
      <x v="4"/>
    </i>
    <i>
      <x v="9"/>
    </i>
    <i>
      <x v="6"/>
    </i>
    <i>
      <x v="1"/>
    </i>
    <i>
      <x v="16"/>
    </i>
    <i>
      <x v="15"/>
    </i>
    <i>
      <x v="2"/>
    </i>
    <i>
      <x v="8"/>
    </i>
    <i>
      <x/>
    </i>
    <i>
      <x v="13"/>
    </i>
    <i>
      <x v="14"/>
    </i>
    <i>
      <x v="12"/>
    </i>
    <i>
      <x v="5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1" baseField="0" baseItem="0"/>
    <dataField name="Sum of Profit" fld="13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D2207-2839-46C9-8B10-3B673386BC29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C7" firstHeaderRow="0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1" baseField="0" baseItem="0"/>
    <dataField name="Sum of Profit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9BB54-DC69-4589-81C7-7559AEEFB914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3:B14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41">
        <item x="25"/>
        <item x="2"/>
        <item x="5"/>
        <item x="13"/>
        <item x="24"/>
        <item x="14"/>
        <item x="27"/>
        <item x="20"/>
        <item x="34"/>
        <item x="15"/>
        <item x="39"/>
        <item x="21"/>
        <item x="8"/>
        <item x="38"/>
        <item x="7"/>
        <item x="33"/>
        <item x="9"/>
        <item x="1"/>
        <item x="36"/>
        <item x="32"/>
        <item x="31"/>
        <item x="10"/>
        <item x="37"/>
        <item x="22"/>
        <item x="6"/>
        <item x="26"/>
        <item x="18"/>
        <item x="30"/>
        <item x="4"/>
        <item x="23"/>
        <item x="19"/>
        <item x="29"/>
        <item x="12"/>
        <item x="11"/>
        <item x="28"/>
        <item x="3"/>
        <item x="17"/>
        <item x="0"/>
        <item x="3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11">
    <i>
      <x v="28"/>
    </i>
    <i>
      <x v="9"/>
    </i>
    <i>
      <x v="5"/>
    </i>
    <i>
      <x v="18"/>
    </i>
    <i>
      <x v="37"/>
    </i>
    <i>
      <x v="17"/>
    </i>
    <i>
      <x v="10"/>
    </i>
    <i>
      <x v="12"/>
    </i>
    <i>
      <x v="23"/>
    </i>
    <i>
      <x v="2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DC3DF-0D4E-41C0-8645-FE5CCC93F5AD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8" firstHeaderRow="1" firstDataRow="1" firstDataCol="1"/>
  <pivotFields count="16">
    <pivotField showAll="0"/>
    <pivotField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Count of Order_Date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3F367-9063-41C5-8D4D-FBB54BD0BBB4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3:B43" firstHeaderRow="1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5"/>
    <field x="1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928A4-D041-4F3B-A3F7-EA60FA89443B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9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hipping_Cost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42EEB-565B-4007-BF72-E1201906BF57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C11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0"/>
        <item x="4"/>
        <item x="3"/>
        <item x="2"/>
        <item x="1"/>
        <item x="6"/>
        <item x="5"/>
        <item t="default"/>
      </items>
    </pivotField>
    <pivotField dataField="1" showAll="0"/>
    <pivotField showAll="0"/>
    <pivotField dataField="1" showAll="0"/>
    <pivotField showAll="0"/>
    <pivotField showAll="0" defaultSubtota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1" baseField="0" baseItem="0"/>
    <dataField name="Sum of Profit" fld="13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O2001" totalsRowShown="0">
  <tableColumns count="15">
    <tableColumn id="1" xr3:uid="{00000000-0010-0000-0000-000001000000}" name="Order_ID"/>
    <tableColumn id="2" xr3:uid="{00000000-0010-0000-0000-000002000000}" name="Order_Date" dataDxfId="0"/>
    <tableColumn id="3" xr3:uid="{00000000-0010-0000-0000-000003000000}" name="Customer_Name"/>
    <tableColumn id="4" xr3:uid="{00000000-0010-0000-0000-000004000000}" name="Customer_Segment"/>
    <tableColumn id="5" xr3:uid="{00000000-0010-0000-0000-000005000000}" name="Country"/>
    <tableColumn id="6" xr3:uid="{00000000-0010-0000-0000-000006000000}" name="Region"/>
    <tableColumn id="7" xr3:uid="{00000000-0010-0000-0000-000007000000}" name="Product_Category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Discount_Percent"/>
    <tableColumn id="12" xr3:uid="{00000000-0010-0000-0000-00000C000000}" name="Total_Sales"/>
    <tableColumn id="13" xr3:uid="{00000000-0010-0000-0000-00000D000000}" name="Shipping_Cost"/>
    <tableColumn id="14" xr3:uid="{00000000-0010-0000-0000-00000E000000}" name="Profit"/>
    <tableColumn id="15" xr3:uid="{00000000-0010-0000-0000-00000F000000}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opLeftCell="A2" workbookViewId="0">
      <selection activeCell="E12" sqref="E12"/>
    </sheetView>
  </sheetViews>
  <sheetFormatPr defaultRowHeight="14.5" x14ac:dyDescent="0.35"/>
  <cols>
    <col min="1" max="1" width="10.54296875" customWidth="1"/>
    <col min="2" max="2" width="12.7265625" style="1" customWidth="1"/>
    <col min="3" max="3" width="16.90625" customWidth="1"/>
    <col min="4" max="4" width="19.26953125" customWidth="1"/>
    <col min="5" max="5" width="9.54296875" customWidth="1"/>
    <col min="7" max="7" width="17.90625" customWidth="1"/>
    <col min="8" max="8" width="15.36328125" customWidth="1"/>
    <col min="9" max="9" width="10.1796875" customWidth="1"/>
    <col min="10" max="10" width="11.453125" customWidth="1"/>
    <col min="11" max="11" width="17.6328125" customWidth="1"/>
    <col min="12" max="12" width="12.26953125" customWidth="1"/>
    <col min="13" max="13" width="14.6328125" customWidth="1"/>
    <col min="15" max="15" width="18" customWidth="1"/>
  </cols>
  <sheetData>
    <row r="1" spans="1:15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44928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t="s">
        <v>22</v>
      </c>
    </row>
    <row r="3" spans="1:15" x14ac:dyDescent="0.35">
      <c r="A3" t="s">
        <v>23</v>
      </c>
      <c r="B3" s="1">
        <v>44928</v>
      </c>
      <c r="C3" t="s">
        <v>24</v>
      </c>
      <c r="D3" t="s">
        <v>17</v>
      </c>
      <c r="E3" t="s">
        <v>25</v>
      </c>
      <c r="F3" t="s">
        <v>26</v>
      </c>
      <c r="G3" t="s">
        <v>20</v>
      </c>
      <c r="H3" t="s">
        <v>27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t="s">
        <v>22</v>
      </c>
    </row>
    <row r="4" spans="1:15" x14ac:dyDescent="0.35">
      <c r="A4" t="s">
        <v>28</v>
      </c>
      <c r="B4" s="1">
        <v>44929</v>
      </c>
      <c r="C4" t="s">
        <v>29</v>
      </c>
      <c r="D4" t="s">
        <v>30</v>
      </c>
      <c r="E4" t="s">
        <v>31</v>
      </c>
      <c r="F4" t="s">
        <v>19</v>
      </c>
      <c r="G4" t="s">
        <v>32</v>
      </c>
      <c r="H4" t="s">
        <v>33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t="s">
        <v>34</v>
      </c>
    </row>
    <row r="5" spans="1:15" x14ac:dyDescent="0.35">
      <c r="A5" t="s">
        <v>35</v>
      </c>
      <c r="B5" s="1">
        <v>44929</v>
      </c>
      <c r="C5" t="s">
        <v>36</v>
      </c>
      <c r="D5" t="s">
        <v>17</v>
      </c>
      <c r="E5" t="s">
        <v>37</v>
      </c>
      <c r="F5" t="s">
        <v>26</v>
      </c>
      <c r="G5" t="s">
        <v>20</v>
      </c>
      <c r="H5" t="s">
        <v>38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t="s">
        <v>39</v>
      </c>
    </row>
    <row r="6" spans="1:15" x14ac:dyDescent="0.35">
      <c r="A6" t="s">
        <v>40</v>
      </c>
      <c r="B6" s="1">
        <v>44931</v>
      </c>
      <c r="C6" t="s">
        <v>41</v>
      </c>
      <c r="D6" t="s">
        <v>30</v>
      </c>
      <c r="E6" t="s">
        <v>37</v>
      </c>
      <c r="F6" t="s">
        <v>26</v>
      </c>
      <c r="G6" t="s">
        <v>42</v>
      </c>
      <c r="H6" t="s">
        <v>43</v>
      </c>
      <c r="I6">
        <v>4</v>
      </c>
      <c r="J6">
        <v>330.67</v>
      </c>
      <c r="K6">
        <v>20</v>
      </c>
      <c r="L6">
        <v>1058.1400000000001</v>
      </c>
      <c r="M6">
        <v>11.09</v>
      </c>
      <c r="N6">
        <v>253.44</v>
      </c>
      <c r="O6" t="s">
        <v>34</v>
      </c>
    </row>
    <row r="7" spans="1:15" x14ac:dyDescent="0.35">
      <c r="A7" t="s">
        <v>44</v>
      </c>
      <c r="B7" s="1">
        <v>44931</v>
      </c>
      <c r="C7" t="s">
        <v>45</v>
      </c>
      <c r="D7" t="s">
        <v>30</v>
      </c>
      <c r="E7" t="s">
        <v>31</v>
      </c>
      <c r="F7" t="s">
        <v>19</v>
      </c>
      <c r="G7" t="s">
        <v>42</v>
      </c>
      <c r="H7" t="s">
        <v>46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t="s">
        <v>39</v>
      </c>
    </row>
    <row r="8" spans="1:15" x14ac:dyDescent="0.35">
      <c r="A8" t="s">
        <v>47</v>
      </c>
      <c r="B8" s="1">
        <v>44932</v>
      </c>
      <c r="C8" t="s">
        <v>48</v>
      </c>
      <c r="D8" t="s">
        <v>49</v>
      </c>
      <c r="E8" t="s">
        <v>18</v>
      </c>
      <c r="F8" t="s">
        <v>19</v>
      </c>
      <c r="G8" t="s">
        <v>32</v>
      </c>
      <c r="H8" t="s">
        <v>50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t="s">
        <v>39</v>
      </c>
    </row>
    <row r="9" spans="1:15" x14ac:dyDescent="0.35">
      <c r="A9" t="s">
        <v>51</v>
      </c>
      <c r="B9" s="1">
        <v>44932</v>
      </c>
      <c r="C9" t="s">
        <v>52</v>
      </c>
      <c r="D9" t="s">
        <v>49</v>
      </c>
      <c r="E9" t="s">
        <v>53</v>
      </c>
      <c r="F9" t="s">
        <v>54</v>
      </c>
      <c r="G9" t="s">
        <v>20</v>
      </c>
      <c r="H9" t="s">
        <v>55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t="s">
        <v>56</v>
      </c>
    </row>
    <row r="10" spans="1:15" x14ac:dyDescent="0.35">
      <c r="A10" t="s">
        <v>57</v>
      </c>
      <c r="B10" s="1">
        <v>44932</v>
      </c>
      <c r="C10" t="s">
        <v>58</v>
      </c>
      <c r="D10" t="s">
        <v>30</v>
      </c>
      <c r="E10" t="s">
        <v>59</v>
      </c>
      <c r="F10" t="s">
        <v>60</v>
      </c>
      <c r="G10" t="s">
        <v>42</v>
      </c>
      <c r="H10" t="s">
        <v>43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t="s">
        <v>56</v>
      </c>
    </row>
    <row r="11" spans="1:15" x14ac:dyDescent="0.35">
      <c r="A11" t="s">
        <v>61</v>
      </c>
      <c r="B11" s="1">
        <v>44933</v>
      </c>
      <c r="C11" t="s">
        <v>62</v>
      </c>
      <c r="D11" t="s">
        <v>30</v>
      </c>
      <c r="E11" t="s">
        <v>63</v>
      </c>
      <c r="F11" t="s">
        <v>54</v>
      </c>
      <c r="G11" t="s">
        <v>42</v>
      </c>
      <c r="H11" t="s">
        <v>64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t="s">
        <v>34</v>
      </c>
    </row>
    <row r="12" spans="1:15" x14ac:dyDescent="0.35">
      <c r="A12" t="s">
        <v>65</v>
      </c>
      <c r="B12" s="1">
        <v>44934</v>
      </c>
      <c r="C12" t="s">
        <v>66</v>
      </c>
      <c r="D12" t="s">
        <v>17</v>
      </c>
      <c r="E12" t="s">
        <v>67</v>
      </c>
      <c r="F12" t="s">
        <v>68</v>
      </c>
      <c r="G12" t="s">
        <v>69</v>
      </c>
      <c r="H12" t="s">
        <v>70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t="s">
        <v>34</v>
      </c>
    </row>
    <row r="13" spans="1:15" x14ac:dyDescent="0.35">
      <c r="A13" t="s">
        <v>71</v>
      </c>
      <c r="B13" s="1">
        <v>44934</v>
      </c>
      <c r="C13" t="s">
        <v>72</v>
      </c>
      <c r="D13" t="s">
        <v>17</v>
      </c>
      <c r="E13" t="s">
        <v>25</v>
      </c>
      <c r="F13" t="s">
        <v>26</v>
      </c>
      <c r="G13" t="s">
        <v>32</v>
      </c>
      <c r="H13" t="s">
        <v>73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t="s">
        <v>22</v>
      </c>
    </row>
    <row r="14" spans="1:15" x14ac:dyDescent="0.35">
      <c r="A14" t="s">
        <v>74</v>
      </c>
      <c r="B14" s="1">
        <v>44935</v>
      </c>
      <c r="C14" t="s">
        <v>75</v>
      </c>
      <c r="D14" t="s">
        <v>17</v>
      </c>
      <c r="E14" t="s">
        <v>76</v>
      </c>
      <c r="F14" t="s">
        <v>26</v>
      </c>
      <c r="G14" t="s">
        <v>20</v>
      </c>
      <c r="H14" t="s">
        <v>38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t="s">
        <v>34</v>
      </c>
    </row>
    <row r="15" spans="1:15" x14ac:dyDescent="0.35">
      <c r="A15" t="s">
        <v>77</v>
      </c>
      <c r="B15" s="1">
        <v>44938</v>
      </c>
      <c r="C15" t="s">
        <v>78</v>
      </c>
      <c r="D15" t="s">
        <v>30</v>
      </c>
      <c r="E15" t="s">
        <v>67</v>
      </c>
      <c r="F15" t="s">
        <v>68</v>
      </c>
      <c r="G15" t="s">
        <v>69</v>
      </c>
      <c r="H15" t="s">
        <v>79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t="s">
        <v>34</v>
      </c>
    </row>
    <row r="16" spans="1:15" x14ac:dyDescent="0.35">
      <c r="A16" t="s">
        <v>80</v>
      </c>
      <c r="B16" s="1">
        <v>44939</v>
      </c>
      <c r="C16" t="s">
        <v>81</v>
      </c>
      <c r="D16" t="s">
        <v>17</v>
      </c>
      <c r="E16" t="s">
        <v>37</v>
      </c>
      <c r="F16" t="s">
        <v>26</v>
      </c>
      <c r="G16" t="s">
        <v>32</v>
      </c>
      <c r="H16" t="s">
        <v>82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t="s">
        <v>39</v>
      </c>
    </row>
    <row r="17" spans="1:15" x14ac:dyDescent="0.35">
      <c r="A17" t="s">
        <v>83</v>
      </c>
      <c r="B17" s="1">
        <v>44939</v>
      </c>
      <c r="C17" t="s">
        <v>84</v>
      </c>
      <c r="D17" t="s">
        <v>17</v>
      </c>
      <c r="E17" t="s">
        <v>85</v>
      </c>
      <c r="F17" t="s">
        <v>60</v>
      </c>
      <c r="G17" t="s">
        <v>69</v>
      </c>
      <c r="H17" t="s">
        <v>86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t="s">
        <v>39</v>
      </c>
    </row>
    <row r="18" spans="1:15" x14ac:dyDescent="0.35">
      <c r="A18" t="s">
        <v>87</v>
      </c>
      <c r="B18" s="1">
        <v>44939</v>
      </c>
      <c r="C18" t="s">
        <v>88</v>
      </c>
      <c r="D18" t="s">
        <v>30</v>
      </c>
      <c r="E18" t="s">
        <v>53</v>
      </c>
      <c r="F18" t="s">
        <v>54</v>
      </c>
      <c r="G18" t="s">
        <v>42</v>
      </c>
      <c r="H18" t="s">
        <v>89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t="s">
        <v>22</v>
      </c>
    </row>
    <row r="19" spans="1:15" x14ac:dyDescent="0.35">
      <c r="A19" t="s">
        <v>90</v>
      </c>
      <c r="B19" s="1">
        <v>44940</v>
      </c>
      <c r="C19" t="s">
        <v>91</v>
      </c>
      <c r="D19" t="s">
        <v>49</v>
      </c>
      <c r="E19" t="s">
        <v>92</v>
      </c>
      <c r="F19" t="s">
        <v>60</v>
      </c>
      <c r="G19" t="s">
        <v>42</v>
      </c>
      <c r="H19" t="s">
        <v>93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t="s">
        <v>22</v>
      </c>
    </row>
    <row r="20" spans="1:15" x14ac:dyDescent="0.35">
      <c r="A20" t="s">
        <v>94</v>
      </c>
      <c r="B20" s="1">
        <v>44940</v>
      </c>
      <c r="C20" t="s">
        <v>95</v>
      </c>
      <c r="D20" t="s">
        <v>30</v>
      </c>
      <c r="E20" t="s">
        <v>31</v>
      </c>
      <c r="F20" t="s">
        <v>19</v>
      </c>
      <c r="G20" t="s">
        <v>42</v>
      </c>
      <c r="H20" t="s">
        <v>64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t="s">
        <v>34</v>
      </c>
    </row>
    <row r="21" spans="1:15" x14ac:dyDescent="0.35">
      <c r="A21" t="s">
        <v>96</v>
      </c>
      <c r="B21" s="1">
        <v>44940</v>
      </c>
      <c r="C21" t="s">
        <v>97</v>
      </c>
      <c r="D21" t="s">
        <v>49</v>
      </c>
      <c r="E21" t="s">
        <v>37</v>
      </c>
      <c r="F21" t="s">
        <v>26</v>
      </c>
      <c r="G21" t="s">
        <v>69</v>
      </c>
      <c r="H21" t="s">
        <v>98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t="s">
        <v>39</v>
      </c>
    </row>
    <row r="22" spans="1:15" x14ac:dyDescent="0.35">
      <c r="A22" t="s">
        <v>99</v>
      </c>
      <c r="B22" s="1">
        <v>44941</v>
      </c>
      <c r="C22" t="s">
        <v>100</v>
      </c>
      <c r="D22" t="s">
        <v>17</v>
      </c>
      <c r="E22" t="s">
        <v>67</v>
      </c>
      <c r="F22" t="s">
        <v>68</v>
      </c>
      <c r="G22" t="s">
        <v>32</v>
      </c>
      <c r="H22" t="s">
        <v>101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t="s">
        <v>22</v>
      </c>
    </row>
    <row r="23" spans="1:15" x14ac:dyDescent="0.35">
      <c r="A23" t="s">
        <v>102</v>
      </c>
      <c r="B23" s="1">
        <v>44941</v>
      </c>
      <c r="C23" t="s">
        <v>103</v>
      </c>
      <c r="D23" t="s">
        <v>30</v>
      </c>
      <c r="E23" t="s">
        <v>67</v>
      </c>
      <c r="F23" t="s">
        <v>68</v>
      </c>
      <c r="G23" t="s">
        <v>69</v>
      </c>
      <c r="H23" t="s">
        <v>98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t="s">
        <v>34</v>
      </c>
    </row>
    <row r="24" spans="1:15" x14ac:dyDescent="0.35">
      <c r="A24" t="s">
        <v>104</v>
      </c>
      <c r="B24" s="1">
        <v>44943</v>
      </c>
      <c r="C24" t="s">
        <v>105</v>
      </c>
      <c r="D24" t="s">
        <v>49</v>
      </c>
      <c r="E24" t="s">
        <v>18</v>
      </c>
      <c r="F24" t="s">
        <v>19</v>
      </c>
      <c r="G24" t="s">
        <v>20</v>
      </c>
      <c r="H24" t="s">
        <v>106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t="s">
        <v>39</v>
      </c>
    </row>
    <row r="25" spans="1:15" x14ac:dyDescent="0.35">
      <c r="A25" t="s">
        <v>107</v>
      </c>
      <c r="B25" s="1">
        <v>44943</v>
      </c>
      <c r="C25" t="s">
        <v>108</v>
      </c>
      <c r="D25" t="s">
        <v>17</v>
      </c>
      <c r="E25" t="s">
        <v>109</v>
      </c>
      <c r="F25" t="s">
        <v>54</v>
      </c>
      <c r="G25" t="s">
        <v>32</v>
      </c>
      <c r="H25" t="s">
        <v>110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t="s">
        <v>56</v>
      </c>
    </row>
    <row r="26" spans="1:15" x14ac:dyDescent="0.35">
      <c r="A26" t="s">
        <v>111</v>
      </c>
      <c r="B26" s="1">
        <v>44944</v>
      </c>
      <c r="C26" t="s">
        <v>112</v>
      </c>
      <c r="D26" t="s">
        <v>30</v>
      </c>
      <c r="E26" t="s">
        <v>31</v>
      </c>
      <c r="F26" t="s">
        <v>19</v>
      </c>
      <c r="G26" t="s">
        <v>42</v>
      </c>
      <c r="H26" t="s">
        <v>43</v>
      </c>
      <c r="I26">
        <v>5</v>
      </c>
      <c r="J26">
        <v>333.59</v>
      </c>
      <c r="K26">
        <v>10</v>
      </c>
      <c r="L26">
        <v>1501.15</v>
      </c>
      <c r="M26">
        <v>9.02</v>
      </c>
      <c r="N26">
        <v>491.36</v>
      </c>
      <c r="O26" t="s">
        <v>34</v>
      </c>
    </row>
    <row r="27" spans="1:15" x14ac:dyDescent="0.35">
      <c r="A27" t="s">
        <v>113</v>
      </c>
      <c r="B27" s="1">
        <v>44946</v>
      </c>
      <c r="C27" t="s">
        <v>114</v>
      </c>
      <c r="D27" t="s">
        <v>30</v>
      </c>
      <c r="E27" t="s">
        <v>109</v>
      </c>
      <c r="F27" t="s">
        <v>54</v>
      </c>
      <c r="G27" t="s">
        <v>32</v>
      </c>
      <c r="H27" t="s">
        <v>115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t="s">
        <v>56</v>
      </c>
    </row>
    <row r="28" spans="1:15" x14ac:dyDescent="0.35">
      <c r="A28" t="s">
        <v>116</v>
      </c>
      <c r="B28" s="1">
        <v>44946</v>
      </c>
      <c r="C28" t="s">
        <v>117</v>
      </c>
      <c r="D28" t="s">
        <v>49</v>
      </c>
      <c r="E28" t="s">
        <v>92</v>
      </c>
      <c r="F28" t="s">
        <v>60</v>
      </c>
      <c r="G28" t="s">
        <v>42</v>
      </c>
      <c r="H28" t="s">
        <v>118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t="s">
        <v>22</v>
      </c>
    </row>
    <row r="29" spans="1:15" x14ac:dyDescent="0.35">
      <c r="A29" t="s">
        <v>119</v>
      </c>
      <c r="B29" s="1">
        <v>44946</v>
      </c>
      <c r="C29" t="s">
        <v>120</v>
      </c>
      <c r="D29" t="s">
        <v>30</v>
      </c>
      <c r="E29" t="s">
        <v>121</v>
      </c>
      <c r="F29" t="s">
        <v>68</v>
      </c>
      <c r="G29" t="s">
        <v>20</v>
      </c>
      <c r="H29" t="s">
        <v>122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t="s">
        <v>39</v>
      </c>
    </row>
    <row r="30" spans="1:15" x14ac:dyDescent="0.35">
      <c r="A30" t="s">
        <v>123</v>
      </c>
      <c r="B30" s="1">
        <v>44946</v>
      </c>
      <c r="C30" t="s">
        <v>124</v>
      </c>
      <c r="D30" t="s">
        <v>49</v>
      </c>
      <c r="E30" t="s">
        <v>85</v>
      </c>
      <c r="F30" t="s">
        <v>60</v>
      </c>
      <c r="G30" t="s">
        <v>32</v>
      </c>
      <c r="H30" t="s">
        <v>101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t="s">
        <v>22</v>
      </c>
    </row>
    <row r="31" spans="1:15" x14ac:dyDescent="0.35">
      <c r="A31" t="s">
        <v>125</v>
      </c>
      <c r="B31" s="1">
        <v>44948</v>
      </c>
      <c r="C31" t="s">
        <v>126</v>
      </c>
      <c r="D31" t="s">
        <v>30</v>
      </c>
      <c r="E31" t="s">
        <v>59</v>
      </c>
      <c r="F31" t="s">
        <v>60</v>
      </c>
      <c r="G31" t="s">
        <v>20</v>
      </c>
      <c r="H31" t="s">
        <v>106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t="s">
        <v>34</v>
      </c>
    </row>
    <row r="32" spans="1:15" x14ac:dyDescent="0.35">
      <c r="A32" t="s">
        <v>127</v>
      </c>
      <c r="B32" s="1">
        <v>44949</v>
      </c>
      <c r="C32" t="s">
        <v>128</v>
      </c>
      <c r="D32" t="s">
        <v>30</v>
      </c>
      <c r="E32" t="s">
        <v>129</v>
      </c>
      <c r="F32" t="s">
        <v>19</v>
      </c>
      <c r="G32" t="s">
        <v>42</v>
      </c>
      <c r="H32" t="s">
        <v>118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t="s">
        <v>34</v>
      </c>
    </row>
    <row r="33" spans="1:15" x14ac:dyDescent="0.35">
      <c r="A33" t="s">
        <v>130</v>
      </c>
      <c r="B33" s="1">
        <v>44949</v>
      </c>
      <c r="C33" t="s">
        <v>131</v>
      </c>
      <c r="D33" t="s">
        <v>30</v>
      </c>
      <c r="E33" t="s">
        <v>76</v>
      </c>
      <c r="F33" t="s">
        <v>26</v>
      </c>
      <c r="G33" t="s">
        <v>32</v>
      </c>
      <c r="H33" t="s">
        <v>132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t="s">
        <v>34</v>
      </c>
    </row>
    <row r="34" spans="1:15" x14ac:dyDescent="0.35">
      <c r="A34" t="s">
        <v>133</v>
      </c>
      <c r="B34" s="1">
        <v>44950</v>
      </c>
      <c r="C34" t="s">
        <v>134</v>
      </c>
      <c r="D34" t="s">
        <v>30</v>
      </c>
      <c r="E34" t="s">
        <v>135</v>
      </c>
      <c r="F34" t="s">
        <v>26</v>
      </c>
      <c r="G34" t="s">
        <v>32</v>
      </c>
      <c r="H34" t="s">
        <v>73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t="s">
        <v>34</v>
      </c>
    </row>
    <row r="35" spans="1:15" x14ac:dyDescent="0.35">
      <c r="A35" t="s">
        <v>136</v>
      </c>
      <c r="B35" s="1">
        <v>44950</v>
      </c>
      <c r="C35" t="s">
        <v>137</v>
      </c>
      <c r="D35" t="s">
        <v>49</v>
      </c>
      <c r="E35" t="s">
        <v>138</v>
      </c>
      <c r="F35" t="s">
        <v>54</v>
      </c>
      <c r="G35" t="s">
        <v>69</v>
      </c>
      <c r="H35" t="s">
        <v>139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t="s">
        <v>39</v>
      </c>
    </row>
    <row r="36" spans="1:15" x14ac:dyDescent="0.35">
      <c r="A36" t="s">
        <v>140</v>
      </c>
      <c r="B36" s="1">
        <v>44951</v>
      </c>
      <c r="C36" t="s">
        <v>141</v>
      </c>
      <c r="D36" t="s">
        <v>17</v>
      </c>
      <c r="E36" t="s">
        <v>37</v>
      </c>
      <c r="F36" t="s">
        <v>26</v>
      </c>
      <c r="G36" t="s">
        <v>32</v>
      </c>
      <c r="H36" t="s">
        <v>101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t="s">
        <v>39</v>
      </c>
    </row>
    <row r="37" spans="1:15" x14ac:dyDescent="0.35">
      <c r="A37" t="s">
        <v>142</v>
      </c>
      <c r="B37" s="1">
        <v>44952</v>
      </c>
      <c r="C37" t="s">
        <v>143</v>
      </c>
      <c r="D37" t="s">
        <v>30</v>
      </c>
      <c r="E37" t="s">
        <v>18</v>
      </c>
      <c r="F37" t="s">
        <v>19</v>
      </c>
      <c r="G37" t="s">
        <v>20</v>
      </c>
      <c r="H37" t="s">
        <v>27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t="s">
        <v>39</v>
      </c>
    </row>
    <row r="38" spans="1:15" x14ac:dyDescent="0.35">
      <c r="A38" t="s">
        <v>144</v>
      </c>
      <c r="B38" s="1">
        <v>44953</v>
      </c>
      <c r="C38" t="s">
        <v>145</v>
      </c>
      <c r="D38" t="s">
        <v>30</v>
      </c>
      <c r="E38" t="s">
        <v>63</v>
      </c>
      <c r="F38" t="s">
        <v>54</v>
      </c>
      <c r="G38" t="s">
        <v>42</v>
      </c>
      <c r="H38" t="s">
        <v>93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t="s">
        <v>22</v>
      </c>
    </row>
    <row r="39" spans="1:15" x14ac:dyDescent="0.35">
      <c r="A39" t="s">
        <v>146</v>
      </c>
      <c r="B39" s="1">
        <v>44954</v>
      </c>
      <c r="C39" t="s">
        <v>147</v>
      </c>
      <c r="D39" t="s">
        <v>17</v>
      </c>
      <c r="E39" t="s">
        <v>148</v>
      </c>
      <c r="F39" t="s">
        <v>60</v>
      </c>
      <c r="G39" t="s">
        <v>32</v>
      </c>
      <c r="H39" t="s">
        <v>149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t="s">
        <v>34</v>
      </c>
    </row>
    <row r="40" spans="1:15" x14ac:dyDescent="0.35">
      <c r="A40" t="s">
        <v>150</v>
      </c>
      <c r="B40" s="1">
        <v>44954</v>
      </c>
      <c r="C40" t="s">
        <v>151</v>
      </c>
      <c r="D40" t="s">
        <v>30</v>
      </c>
      <c r="E40" t="s">
        <v>31</v>
      </c>
      <c r="F40" t="s">
        <v>19</v>
      </c>
      <c r="G40" t="s">
        <v>20</v>
      </c>
      <c r="H40" t="s">
        <v>38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t="s">
        <v>34</v>
      </c>
    </row>
    <row r="41" spans="1:15" x14ac:dyDescent="0.35">
      <c r="A41" t="s">
        <v>152</v>
      </c>
      <c r="B41" s="1">
        <v>44954</v>
      </c>
      <c r="C41" t="s">
        <v>153</v>
      </c>
      <c r="D41" t="s">
        <v>30</v>
      </c>
      <c r="E41" t="s">
        <v>76</v>
      </c>
      <c r="F41" t="s">
        <v>26</v>
      </c>
      <c r="G41" t="s">
        <v>32</v>
      </c>
      <c r="H41" t="s">
        <v>50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t="s">
        <v>39</v>
      </c>
    </row>
    <row r="42" spans="1:15" x14ac:dyDescent="0.35">
      <c r="A42" t="s">
        <v>154</v>
      </c>
      <c r="B42" s="1">
        <v>44955</v>
      </c>
      <c r="C42" t="s">
        <v>155</v>
      </c>
      <c r="D42" t="s">
        <v>49</v>
      </c>
      <c r="E42" t="s">
        <v>121</v>
      </c>
      <c r="F42" t="s">
        <v>68</v>
      </c>
      <c r="G42" t="s">
        <v>69</v>
      </c>
      <c r="H42" t="s">
        <v>139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t="s">
        <v>34</v>
      </c>
    </row>
    <row r="43" spans="1:15" x14ac:dyDescent="0.35">
      <c r="A43" t="s">
        <v>156</v>
      </c>
      <c r="B43" s="1">
        <v>44956</v>
      </c>
      <c r="C43" t="s">
        <v>157</v>
      </c>
      <c r="D43" t="s">
        <v>30</v>
      </c>
      <c r="E43" t="s">
        <v>129</v>
      </c>
      <c r="F43" t="s">
        <v>19</v>
      </c>
      <c r="G43" t="s">
        <v>32</v>
      </c>
      <c r="H43" t="s">
        <v>132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t="s">
        <v>56</v>
      </c>
    </row>
    <row r="44" spans="1:15" x14ac:dyDescent="0.35">
      <c r="A44" t="s">
        <v>158</v>
      </c>
      <c r="B44" s="1">
        <v>44957</v>
      </c>
      <c r="C44" t="s">
        <v>159</v>
      </c>
      <c r="D44" t="s">
        <v>49</v>
      </c>
      <c r="E44" t="s">
        <v>85</v>
      </c>
      <c r="F44" t="s">
        <v>60</v>
      </c>
      <c r="G44" t="s">
        <v>69</v>
      </c>
      <c r="H44" t="s">
        <v>160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t="s">
        <v>34</v>
      </c>
    </row>
    <row r="45" spans="1:15" x14ac:dyDescent="0.35">
      <c r="A45" t="s">
        <v>161</v>
      </c>
      <c r="B45" s="1">
        <v>44957</v>
      </c>
      <c r="C45" t="s">
        <v>162</v>
      </c>
      <c r="D45" t="s">
        <v>30</v>
      </c>
      <c r="E45" t="s">
        <v>18</v>
      </c>
      <c r="F45" t="s">
        <v>19</v>
      </c>
      <c r="G45" t="s">
        <v>69</v>
      </c>
      <c r="H45" t="s">
        <v>163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t="s">
        <v>39</v>
      </c>
    </row>
    <row r="46" spans="1:15" x14ac:dyDescent="0.35">
      <c r="A46" t="s">
        <v>164</v>
      </c>
      <c r="B46" s="1">
        <v>44957</v>
      </c>
      <c r="C46" t="s">
        <v>165</v>
      </c>
      <c r="D46" t="s">
        <v>49</v>
      </c>
      <c r="E46" t="s">
        <v>166</v>
      </c>
      <c r="F46" t="s">
        <v>60</v>
      </c>
      <c r="G46" t="s">
        <v>42</v>
      </c>
      <c r="H46" t="s">
        <v>89</v>
      </c>
      <c r="I46">
        <v>4</v>
      </c>
      <c r="J46">
        <v>429.23</v>
      </c>
      <c r="K46">
        <v>5</v>
      </c>
      <c r="L46">
        <v>1631.07</v>
      </c>
      <c r="M46">
        <v>12.2</v>
      </c>
      <c r="N46">
        <v>588.72</v>
      </c>
      <c r="O46" t="s">
        <v>34</v>
      </c>
    </row>
    <row r="47" spans="1:15" x14ac:dyDescent="0.35">
      <c r="A47" t="s">
        <v>167</v>
      </c>
      <c r="B47" s="1">
        <v>44957</v>
      </c>
      <c r="C47" t="s">
        <v>168</v>
      </c>
      <c r="D47" t="s">
        <v>17</v>
      </c>
      <c r="E47" t="s">
        <v>169</v>
      </c>
      <c r="F47" t="s">
        <v>68</v>
      </c>
      <c r="G47" t="s">
        <v>20</v>
      </c>
      <c r="H47" t="s">
        <v>170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t="s">
        <v>34</v>
      </c>
    </row>
    <row r="48" spans="1:15" x14ac:dyDescent="0.35">
      <c r="A48" t="s">
        <v>171</v>
      </c>
      <c r="B48" s="1">
        <v>44957</v>
      </c>
      <c r="C48" t="s">
        <v>172</v>
      </c>
      <c r="D48" t="s">
        <v>17</v>
      </c>
      <c r="E48" t="s">
        <v>53</v>
      </c>
      <c r="F48" t="s">
        <v>54</v>
      </c>
      <c r="G48" t="s">
        <v>32</v>
      </c>
      <c r="H48" t="s">
        <v>33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t="s">
        <v>34</v>
      </c>
    </row>
    <row r="49" spans="1:15" x14ac:dyDescent="0.35">
      <c r="A49" t="s">
        <v>173</v>
      </c>
      <c r="B49" s="1">
        <v>44958</v>
      </c>
      <c r="C49" t="s">
        <v>174</v>
      </c>
      <c r="D49" t="s">
        <v>30</v>
      </c>
      <c r="E49" t="s">
        <v>129</v>
      </c>
      <c r="F49" t="s">
        <v>19</v>
      </c>
      <c r="G49" t="s">
        <v>20</v>
      </c>
      <c r="H49" t="s">
        <v>175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t="s">
        <v>56</v>
      </c>
    </row>
    <row r="50" spans="1:15" x14ac:dyDescent="0.35">
      <c r="A50" t="s">
        <v>176</v>
      </c>
      <c r="B50" s="1">
        <v>44959</v>
      </c>
      <c r="C50" t="s">
        <v>177</v>
      </c>
      <c r="D50" t="s">
        <v>17</v>
      </c>
      <c r="E50" t="s">
        <v>37</v>
      </c>
      <c r="F50" t="s">
        <v>26</v>
      </c>
      <c r="G50" t="s">
        <v>20</v>
      </c>
      <c r="H50" t="s">
        <v>38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t="s">
        <v>39</v>
      </c>
    </row>
    <row r="51" spans="1:15" x14ac:dyDescent="0.35">
      <c r="A51" t="s">
        <v>178</v>
      </c>
      <c r="B51" s="1">
        <v>44960</v>
      </c>
      <c r="C51" t="s">
        <v>179</v>
      </c>
      <c r="D51" t="s">
        <v>17</v>
      </c>
      <c r="E51" t="s">
        <v>67</v>
      </c>
      <c r="F51" t="s">
        <v>68</v>
      </c>
      <c r="G51" t="s">
        <v>69</v>
      </c>
      <c r="H51" t="s">
        <v>139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t="s">
        <v>56</v>
      </c>
    </row>
    <row r="52" spans="1:15" x14ac:dyDescent="0.35">
      <c r="A52" t="s">
        <v>180</v>
      </c>
      <c r="B52" s="1">
        <v>44960</v>
      </c>
      <c r="C52" t="s">
        <v>181</v>
      </c>
      <c r="D52" t="s">
        <v>17</v>
      </c>
      <c r="E52" t="s">
        <v>129</v>
      </c>
      <c r="F52" t="s">
        <v>19</v>
      </c>
      <c r="G52" t="s">
        <v>42</v>
      </c>
      <c r="H52" t="s">
        <v>43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t="s">
        <v>34</v>
      </c>
    </row>
    <row r="53" spans="1:15" x14ac:dyDescent="0.35">
      <c r="A53" t="s">
        <v>182</v>
      </c>
      <c r="B53" s="1">
        <v>44960</v>
      </c>
      <c r="C53" t="s">
        <v>183</v>
      </c>
      <c r="D53" t="s">
        <v>17</v>
      </c>
      <c r="E53" t="s">
        <v>148</v>
      </c>
      <c r="F53" t="s">
        <v>60</v>
      </c>
      <c r="G53" t="s">
        <v>42</v>
      </c>
      <c r="H53" t="s">
        <v>118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t="s">
        <v>56</v>
      </c>
    </row>
    <row r="54" spans="1:15" x14ac:dyDescent="0.35">
      <c r="A54" t="s">
        <v>184</v>
      </c>
      <c r="B54" s="1">
        <v>44961</v>
      </c>
      <c r="C54" t="s">
        <v>185</v>
      </c>
      <c r="D54" t="s">
        <v>49</v>
      </c>
      <c r="E54" t="s">
        <v>85</v>
      </c>
      <c r="F54" t="s">
        <v>60</v>
      </c>
      <c r="G54" t="s">
        <v>32</v>
      </c>
      <c r="H54" t="s">
        <v>115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t="s">
        <v>22</v>
      </c>
    </row>
    <row r="55" spans="1:15" x14ac:dyDescent="0.35">
      <c r="A55" t="s">
        <v>186</v>
      </c>
      <c r="B55" s="1">
        <v>44961</v>
      </c>
      <c r="C55" t="s">
        <v>187</v>
      </c>
      <c r="D55" t="s">
        <v>49</v>
      </c>
      <c r="E55" t="s">
        <v>67</v>
      </c>
      <c r="F55" t="s">
        <v>68</v>
      </c>
      <c r="G55" t="s">
        <v>32</v>
      </c>
      <c r="H55" t="s">
        <v>73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t="s">
        <v>56</v>
      </c>
    </row>
    <row r="56" spans="1:15" x14ac:dyDescent="0.35">
      <c r="A56" t="s">
        <v>188</v>
      </c>
      <c r="B56" s="1">
        <v>44961</v>
      </c>
      <c r="C56" t="s">
        <v>189</v>
      </c>
      <c r="D56" t="s">
        <v>17</v>
      </c>
      <c r="E56" t="s">
        <v>121</v>
      </c>
      <c r="F56" t="s">
        <v>68</v>
      </c>
      <c r="G56" t="s">
        <v>20</v>
      </c>
      <c r="H56" t="s">
        <v>38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t="s">
        <v>22</v>
      </c>
    </row>
    <row r="57" spans="1:15" x14ac:dyDescent="0.35">
      <c r="A57" t="s">
        <v>190</v>
      </c>
      <c r="B57" s="1">
        <v>44962</v>
      </c>
      <c r="C57" t="s">
        <v>191</v>
      </c>
      <c r="D57" t="s">
        <v>30</v>
      </c>
      <c r="E57" t="s">
        <v>135</v>
      </c>
      <c r="F57" t="s">
        <v>26</v>
      </c>
      <c r="G57" t="s">
        <v>42</v>
      </c>
      <c r="H57" t="s">
        <v>46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t="s">
        <v>22</v>
      </c>
    </row>
    <row r="58" spans="1:15" x14ac:dyDescent="0.35">
      <c r="A58" t="s">
        <v>192</v>
      </c>
      <c r="B58" s="1">
        <v>44962</v>
      </c>
      <c r="C58" t="s">
        <v>193</v>
      </c>
      <c r="D58" t="s">
        <v>30</v>
      </c>
      <c r="E58" t="s">
        <v>169</v>
      </c>
      <c r="F58" t="s">
        <v>68</v>
      </c>
      <c r="G58" t="s">
        <v>69</v>
      </c>
      <c r="H58" t="s">
        <v>86</v>
      </c>
      <c r="I58">
        <v>10</v>
      </c>
      <c r="J58">
        <v>138.69999999999999</v>
      </c>
      <c r="K58">
        <v>15</v>
      </c>
      <c r="L58">
        <v>1178.95</v>
      </c>
      <c r="M58">
        <v>17.36</v>
      </c>
      <c r="N58">
        <v>468.09</v>
      </c>
      <c r="O58" t="s">
        <v>34</v>
      </c>
    </row>
    <row r="59" spans="1:15" x14ac:dyDescent="0.35">
      <c r="A59" t="s">
        <v>194</v>
      </c>
      <c r="B59" s="1">
        <v>44964</v>
      </c>
      <c r="C59" t="s">
        <v>195</v>
      </c>
      <c r="D59" t="s">
        <v>30</v>
      </c>
      <c r="E59" t="s">
        <v>59</v>
      </c>
      <c r="F59" t="s">
        <v>60</v>
      </c>
      <c r="G59" t="s">
        <v>69</v>
      </c>
      <c r="H59" t="s">
        <v>196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t="s">
        <v>39</v>
      </c>
    </row>
    <row r="60" spans="1:15" x14ac:dyDescent="0.35">
      <c r="A60" t="s">
        <v>197</v>
      </c>
      <c r="B60" s="1">
        <v>44964</v>
      </c>
      <c r="C60" t="s">
        <v>198</v>
      </c>
      <c r="D60" t="s">
        <v>30</v>
      </c>
      <c r="E60" t="s">
        <v>85</v>
      </c>
      <c r="F60" t="s">
        <v>60</v>
      </c>
      <c r="G60" t="s">
        <v>20</v>
      </c>
      <c r="H60" t="s">
        <v>199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t="s">
        <v>39</v>
      </c>
    </row>
    <row r="61" spans="1:15" x14ac:dyDescent="0.35">
      <c r="A61" t="s">
        <v>200</v>
      </c>
      <c r="B61" s="1">
        <v>44964</v>
      </c>
      <c r="C61" t="s">
        <v>201</v>
      </c>
      <c r="D61" t="s">
        <v>49</v>
      </c>
      <c r="E61" t="s">
        <v>129</v>
      </c>
      <c r="F61" t="s">
        <v>19</v>
      </c>
      <c r="G61" t="s">
        <v>20</v>
      </c>
      <c r="H61" t="s">
        <v>199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t="s">
        <v>39</v>
      </c>
    </row>
    <row r="62" spans="1:15" x14ac:dyDescent="0.35">
      <c r="A62" t="s">
        <v>202</v>
      </c>
      <c r="B62" s="1">
        <v>44965</v>
      </c>
      <c r="C62" t="s">
        <v>203</v>
      </c>
      <c r="D62" t="s">
        <v>30</v>
      </c>
      <c r="E62" t="s">
        <v>92</v>
      </c>
      <c r="F62" t="s">
        <v>60</v>
      </c>
      <c r="G62" t="s">
        <v>20</v>
      </c>
      <c r="H62" t="s">
        <v>38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t="s">
        <v>34</v>
      </c>
    </row>
    <row r="63" spans="1:15" x14ac:dyDescent="0.35">
      <c r="A63" t="s">
        <v>204</v>
      </c>
      <c r="B63" s="1">
        <v>44965</v>
      </c>
      <c r="C63" t="s">
        <v>205</v>
      </c>
      <c r="D63" t="s">
        <v>17</v>
      </c>
      <c r="E63" t="s">
        <v>85</v>
      </c>
      <c r="F63" t="s">
        <v>60</v>
      </c>
      <c r="G63" t="s">
        <v>32</v>
      </c>
      <c r="H63" t="s">
        <v>132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t="s">
        <v>34</v>
      </c>
    </row>
    <row r="64" spans="1:15" x14ac:dyDescent="0.35">
      <c r="A64" t="s">
        <v>206</v>
      </c>
      <c r="B64" s="1">
        <v>44965</v>
      </c>
      <c r="C64" t="s">
        <v>207</v>
      </c>
      <c r="D64" t="s">
        <v>49</v>
      </c>
      <c r="E64" t="s">
        <v>148</v>
      </c>
      <c r="F64" t="s">
        <v>60</v>
      </c>
      <c r="G64" t="s">
        <v>32</v>
      </c>
      <c r="H64" t="s">
        <v>73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t="s">
        <v>39</v>
      </c>
    </row>
    <row r="65" spans="1:15" x14ac:dyDescent="0.35">
      <c r="A65" t="s">
        <v>208</v>
      </c>
      <c r="B65" s="1">
        <v>44966</v>
      </c>
      <c r="C65" t="s">
        <v>209</v>
      </c>
      <c r="D65" t="s">
        <v>30</v>
      </c>
      <c r="E65" t="s">
        <v>129</v>
      </c>
      <c r="F65" t="s">
        <v>19</v>
      </c>
      <c r="G65" t="s">
        <v>42</v>
      </c>
      <c r="H65" t="s">
        <v>46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t="s">
        <v>56</v>
      </c>
    </row>
    <row r="66" spans="1:15" x14ac:dyDescent="0.35">
      <c r="A66" t="s">
        <v>210</v>
      </c>
      <c r="B66" s="1">
        <v>44966</v>
      </c>
      <c r="C66" t="s">
        <v>211</v>
      </c>
      <c r="D66" t="s">
        <v>30</v>
      </c>
      <c r="E66" t="s">
        <v>76</v>
      </c>
      <c r="F66" t="s">
        <v>26</v>
      </c>
      <c r="G66" t="s">
        <v>42</v>
      </c>
      <c r="H66" t="s">
        <v>64</v>
      </c>
      <c r="I66">
        <v>9</v>
      </c>
      <c r="J66">
        <v>126.93</v>
      </c>
      <c r="K66">
        <v>0</v>
      </c>
      <c r="L66">
        <v>1142.3699999999999</v>
      </c>
      <c r="M66">
        <v>23.14</v>
      </c>
      <c r="N66">
        <v>433.81</v>
      </c>
      <c r="O66" t="s">
        <v>39</v>
      </c>
    </row>
    <row r="67" spans="1:15" x14ac:dyDescent="0.35">
      <c r="A67" t="s">
        <v>212</v>
      </c>
      <c r="B67" s="1">
        <v>44967</v>
      </c>
      <c r="C67" t="s">
        <v>213</v>
      </c>
      <c r="D67" t="s">
        <v>30</v>
      </c>
      <c r="E67" t="s">
        <v>121</v>
      </c>
      <c r="F67" t="s">
        <v>68</v>
      </c>
      <c r="G67" t="s">
        <v>42</v>
      </c>
      <c r="H67" t="s">
        <v>43</v>
      </c>
      <c r="I67">
        <v>8</v>
      </c>
      <c r="J67">
        <v>289.70999999999998</v>
      </c>
      <c r="K67">
        <v>10</v>
      </c>
      <c r="L67">
        <v>2085.91</v>
      </c>
      <c r="M67">
        <v>16.440000000000001</v>
      </c>
      <c r="N67">
        <v>678.86</v>
      </c>
      <c r="O67" t="s">
        <v>56</v>
      </c>
    </row>
    <row r="68" spans="1:15" x14ac:dyDescent="0.35">
      <c r="A68" t="s">
        <v>214</v>
      </c>
      <c r="B68" s="1">
        <v>44967</v>
      </c>
      <c r="C68" t="s">
        <v>215</v>
      </c>
      <c r="D68" t="s">
        <v>17</v>
      </c>
      <c r="E68" t="s">
        <v>85</v>
      </c>
      <c r="F68" t="s">
        <v>60</v>
      </c>
      <c r="G68" t="s">
        <v>69</v>
      </c>
      <c r="H68" t="s">
        <v>79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t="s">
        <v>56</v>
      </c>
    </row>
    <row r="69" spans="1:15" x14ac:dyDescent="0.35">
      <c r="A69" t="s">
        <v>216</v>
      </c>
      <c r="B69" s="1">
        <v>44967</v>
      </c>
      <c r="C69" t="s">
        <v>217</v>
      </c>
      <c r="D69" t="s">
        <v>30</v>
      </c>
      <c r="E69" t="s">
        <v>135</v>
      </c>
      <c r="F69" t="s">
        <v>26</v>
      </c>
      <c r="G69" t="s">
        <v>20</v>
      </c>
      <c r="H69" t="s">
        <v>122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t="s">
        <v>34</v>
      </c>
    </row>
    <row r="70" spans="1:15" x14ac:dyDescent="0.35">
      <c r="A70" t="s">
        <v>218</v>
      </c>
      <c r="B70" s="1">
        <v>44967</v>
      </c>
      <c r="C70" t="s">
        <v>219</v>
      </c>
      <c r="D70" t="s">
        <v>30</v>
      </c>
      <c r="E70" t="s">
        <v>37</v>
      </c>
      <c r="F70" t="s">
        <v>26</v>
      </c>
      <c r="G70" t="s">
        <v>69</v>
      </c>
      <c r="H70" t="s">
        <v>70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t="s">
        <v>34</v>
      </c>
    </row>
    <row r="71" spans="1:15" x14ac:dyDescent="0.35">
      <c r="A71" t="s">
        <v>220</v>
      </c>
      <c r="B71" s="1">
        <v>44968</v>
      </c>
      <c r="C71" t="s">
        <v>221</v>
      </c>
      <c r="D71" t="s">
        <v>30</v>
      </c>
      <c r="E71" t="s">
        <v>129</v>
      </c>
      <c r="F71" t="s">
        <v>19</v>
      </c>
      <c r="G71" t="s">
        <v>32</v>
      </c>
      <c r="H71" t="s">
        <v>73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t="s">
        <v>22</v>
      </c>
    </row>
    <row r="72" spans="1:15" x14ac:dyDescent="0.35">
      <c r="A72" t="s">
        <v>222</v>
      </c>
      <c r="B72" s="1">
        <v>44969</v>
      </c>
      <c r="C72" t="s">
        <v>223</v>
      </c>
      <c r="D72" t="s">
        <v>30</v>
      </c>
      <c r="E72" t="s">
        <v>63</v>
      </c>
      <c r="F72" t="s">
        <v>54</v>
      </c>
      <c r="G72" t="s">
        <v>69</v>
      </c>
      <c r="H72" t="s">
        <v>79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t="s">
        <v>56</v>
      </c>
    </row>
    <row r="73" spans="1:15" x14ac:dyDescent="0.35">
      <c r="A73" t="s">
        <v>224</v>
      </c>
      <c r="B73" s="1">
        <v>44969</v>
      </c>
      <c r="C73" t="s">
        <v>225</v>
      </c>
      <c r="D73" t="s">
        <v>30</v>
      </c>
      <c r="E73" t="s">
        <v>92</v>
      </c>
      <c r="F73" t="s">
        <v>60</v>
      </c>
      <c r="G73" t="s">
        <v>69</v>
      </c>
      <c r="H73" t="s">
        <v>98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t="s">
        <v>39</v>
      </c>
    </row>
    <row r="74" spans="1:15" x14ac:dyDescent="0.35">
      <c r="A74" t="s">
        <v>226</v>
      </c>
      <c r="B74" s="1">
        <v>44972</v>
      </c>
      <c r="C74" t="s">
        <v>227</v>
      </c>
      <c r="D74" t="s">
        <v>17</v>
      </c>
      <c r="E74" t="s">
        <v>18</v>
      </c>
      <c r="F74" t="s">
        <v>19</v>
      </c>
      <c r="G74" t="s">
        <v>20</v>
      </c>
      <c r="H74" t="s">
        <v>199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t="s">
        <v>34</v>
      </c>
    </row>
    <row r="75" spans="1:15" x14ac:dyDescent="0.35">
      <c r="A75" t="s">
        <v>228</v>
      </c>
      <c r="B75" s="1">
        <v>44972</v>
      </c>
      <c r="C75" t="s">
        <v>229</v>
      </c>
      <c r="D75" t="s">
        <v>49</v>
      </c>
      <c r="E75" t="s">
        <v>129</v>
      </c>
      <c r="F75" t="s">
        <v>19</v>
      </c>
      <c r="G75" t="s">
        <v>42</v>
      </c>
      <c r="H75" t="s">
        <v>64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t="s">
        <v>22</v>
      </c>
    </row>
    <row r="76" spans="1:15" x14ac:dyDescent="0.35">
      <c r="A76" t="s">
        <v>230</v>
      </c>
      <c r="B76" s="1">
        <v>44973</v>
      </c>
      <c r="C76" t="s">
        <v>231</v>
      </c>
      <c r="D76" t="s">
        <v>49</v>
      </c>
      <c r="E76" t="s">
        <v>53</v>
      </c>
      <c r="F76" t="s">
        <v>54</v>
      </c>
      <c r="G76" t="s">
        <v>20</v>
      </c>
      <c r="H76" t="s">
        <v>38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t="s">
        <v>39</v>
      </c>
    </row>
    <row r="77" spans="1:15" x14ac:dyDescent="0.35">
      <c r="A77" t="s">
        <v>232</v>
      </c>
      <c r="B77" s="1">
        <v>44974</v>
      </c>
      <c r="C77" t="s">
        <v>233</v>
      </c>
      <c r="D77" t="s">
        <v>17</v>
      </c>
      <c r="E77" t="s">
        <v>18</v>
      </c>
      <c r="F77" t="s">
        <v>19</v>
      </c>
      <c r="G77" t="s">
        <v>42</v>
      </c>
      <c r="H77" t="s">
        <v>234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t="s">
        <v>56</v>
      </c>
    </row>
    <row r="78" spans="1:15" x14ac:dyDescent="0.35">
      <c r="A78" t="s">
        <v>235</v>
      </c>
      <c r="B78" s="1">
        <v>44974</v>
      </c>
      <c r="C78" t="s">
        <v>236</v>
      </c>
      <c r="D78" t="s">
        <v>49</v>
      </c>
      <c r="E78" t="s">
        <v>92</v>
      </c>
      <c r="F78" t="s">
        <v>60</v>
      </c>
      <c r="G78" t="s">
        <v>20</v>
      </c>
      <c r="H78" t="s">
        <v>21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t="s">
        <v>34</v>
      </c>
    </row>
    <row r="79" spans="1:15" x14ac:dyDescent="0.35">
      <c r="A79" t="s">
        <v>237</v>
      </c>
      <c r="B79" s="1">
        <v>44974</v>
      </c>
      <c r="C79" t="s">
        <v>238</v>
      </c>
      <c r="D79" t="s">
        <v>30</v>
      </c>
      <c r="E79" t="s">
        <v>76</v>
      </c>
      <c r="F79" t="s">
        <v>26</v>
      </c>
      <c r="G79" t="s">
        <v>69</v>
      </c>
      <c r="H79" t="s">
        <v>163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t="s">
        <v>34</v>
      </c>
    </row>
    <row r="80" spans="1:15" x14ac:dyDescent="0.35">
      <c r="A80" t="s">
        <v>239</v>
      </c>
      <c r="B80" s="1">
        <v>44975</v>
      </c>
      <c r="C80" t="s">
        <v>240</v>
      </c>
      <c r="D80" t="s">
        <v>17</v>
      </c>
      <c r="E80" t="s">
        <v>148</v>
      </c>
      <c r="F80" t="s">
        <v>60</v>
      </c>
      <c r="G80" t="s">
        <v>69</v>
      </c>
      <c r="H80" t="s">
        <v>86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t="s">
        <v>34</v>
      </c>
    </row>
    <row r="81" spans="1:15" x14ac:dyDescent="0.35">
      <c r="A81" t="s">
        <v>241</v>
      </c>
      <c r="B81" s="1">
        <v>44976</v>
      </c>
      <c r="C81" t="s">
        <v>242</v>
      </c>
      <c r="D81" t="s">
        <v>30</v>
      </c>
      <c r="E81" t="s">
        <v>53</v>
      </c>
      <c r="F81" t="s">
        <v>54</v>
      </c>
      <c r="G81" t="s">
        <v>69</v>
      </c>
      <c r="H81" t="s">
        <v>243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t="s">
        <v>34</v>
      </c>
    </row>
    <row r="82" spans="1:15" x14ac:dyDescent="0.35">
      <c r="A82" t="s">
        <v>244</v>
      </c>
      <c r="B82" s="1">
        <v>44976</v>
      </c>
      <c r="C82" t="s">
        <v>245</v>
      </c>
      <c r="D82" t="s">
        <v>30</v>
      </c>
      <c r="E82" t="s">
        <v>129</v>
      </c>
      <c r="F82" t="s">
        <v>19</v>
      </c>
      <c r="G82" t="s">
        <v>32</v>
      </c>
      <c r="H82" t="s">
        <v>110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t="s">
        <v>39</v>
      </c>
    </row>
    <row r="83" spans="1:15" x14ac:dyDescent="0.35">
      <c r="A83" t="s">
        <v>246</v>
      </c>
      <c r="B83" s="1">
        <v>44976</v>
      </c>
      <c r="C83" t="s">
        <v>247</v>
      </c>
      <c r="D83" t="s">
        <v>30</v>
      </c>
      <c r="E83" t="s">
        <v>248</v>
      </c>
      <c r="F83" t="s">
        <v>26</v>
      </c>
      <c r="G83" t="s">
        <v>69</v>
      </c>
      <c r="H83" t="s">
        <v>160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t="s">
        <v>22</v>
      </c>
    </row>
    <row r="84" spans="1:15" x14ac:dyDescent="0.35">
      <c r="A84" t="s">
        <v>249</v>
      </c>
      <c r="B84" s="1">
        <v>44977</v>
      </c>
      <c r="C84" t="s">
        <v>250</v>
      </c>
      <c r="D84" t="s">
        <v>30</v>
      </c>
      <c r="E84" t="s">
        <v>31</v>
      </c>
      <c r="F84" t="s">
        <v>19</v>
      </c>
      <c r="G84" t="s">
        <v>69</v>
      </c>
      <c r="H84" t="s">
        <v>243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t="s">
        <v>22</v>
      </c>
    </row>
    <row r="85" spans="1:15" x14ac:dyDescent="0.35">
      <c r="A85" t="s">
        <v>251</v>
      </c>
      <c r="B85" s="1">
        <v>44978</v>
      </c>
      <c r="C85" t="s">
        <v>252</v>
      </c>
      <c r="D85" t="s">
        <v>30</v>
      </c>
      <c r="E85" t="s">
        <v>18</v>
      </c>
      <c r="F85" t="s">
        <v>19</v>
      </c>
      <c r="G85" t="s">
        <v>20</v>
      </c>
      <c r="H85" t="s">
        <v>106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t="s">
        <v>34</v>
      </c>
    </row>
    <row r="86" spans="1:15" x14ac:dyDescent="0.35">
      <c r="A86" t="s">
        <v>253</v>
      </c>
      <c r="B86" s="1">
        <v>44978</v>
      </c>
      <c r="C86" t="s">
        <v>254</v>
      </c>
      <c r="D86" t="s">
        <v>30</v>
      </c>
      <c r="E86" t="s">
        <v>59</v>
      </c>
      <c r="F86" t="s">
        <v>60</v>
      </c>
      <c r="G86" t="s">
        <v>42</v>
      </c>
      <c r="H86" t="s">
        <v>255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t="s">
        <v>39</v>
      </c>
    </row>
    <row r="87" spans="1:15" x14ac:dyDescent="0.35">
      <c r="A87" t="s">
        <v>256</v>
      </c>
      <c r="B87" s="1">
        <v>44978</v>
      </c>
      <c r="C87" t="s">
        <v>257</v>
      </c>
      <c r="D87" t="s">
        <v>30</v>
      </c>
      <c r="E87" t="s">
        <v>129</v>
      </c>
      <c r="F87" t="s">
        <v>19</v>
      </c>
      <c r="G87" t="s">
        <v>42</v>
      </c>
      <c r="H87" t="s">
        <v>93</v>
      </c>
      <c r="I87">
        <v>6</v>
      </c>
      <c r="J87">
        <v>472.56</v>
      </c>
      <c r="K87">
        <v>0</v>
      </c>
      <c r="L87">
        <v>2835.36</v>
      </c>
      <c r="M87">
        <v>19.09</v>
      </c>
      <c r="N87">
        <v>1115.05</v>
      </c>
      <c r="O87" t="s">
        <v>39</v>
      </c>
    </row>
    <row r="88" spans="1:15" x14ac:dyDescent="0.35">
      <c r="A88" t="s">
        <v>258</v>
      </c>
      <c r="B88" s="1">
        <v>44978</v>
      </c>
      <c r="C88" t="s">
        <v>259</v>
      </c>
      <c r="D88" t="s">
        <v>30</v>
      </c>
      <c r="E88" t="s">
        <v>92</v>
      </c>
      <c r="F88" t="s">
        <v>60</v>
      </c>
      <c r="G88" t="s">
        <v>20</v>
      </c>
      <c r="H88" t="s">
        <v>199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t="s">
        <v>39</v>
      </c>
    </row>
    <row r="89" spans="1:15" x14ac:dyDescent="0.35">
      <c r="A89" t="s">
        <v>260</v>
      </c>
      <c r="B89" s="1">
        <v>44979</v>
      </c>
      <c r="C89" t="s">
        <v>261</v>
      </c>
      <c r="D89" t="s">
        <v>17</v>
      </c>
      <c r="E89" t="s">
        <v>129</v>
      </c>
      <c r="F89" t="s">
        <v>19</v>
      </c>
      <c r="G89" t="s">
        <v>20</v>
      </c>
      <c r="H89" t="s">
        <v>175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t="s">
        <v>22</v>
      </c>
    </row>
    <row r="90" spans="1:15" x14ac:dyDescent="0.35">
      <c r="A90" t="s">
        <v>262</v>
      </c>
      <c r="B90" s="1">
        <v>44979</v>
      </c>
      <c r="C90" t="s">
        <v>263</v>
      </c>
      <c r="D90" t="s">
        <v>49</v>
      </c>
      <c r="E90" t="s">
        <v>76</v>
      </c>
      <c r="F90" t="s">
        <v>26</v>
      </c>
      <c r="G90" t="s">
        <v>20</v>
      </c>
      <c r="H90" t="s">
        <v>264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t="s">
        <v>34</v>
      </c>
    </row>
    <row r="91" spans="1:15" x14ac:dyDescent="0.35">
      <c r="A91" t="s">
        <v>265</v>
      </c>
      <c r="B91" s="1">
        <v>44980</v>
      </c>
      <c r="C91" t="s">
        <v>266</v>
      </c>
      <c r="D91" t="s">
        <v>17</v>
      </c>
      <c r="E91" t="s">
        <v>18</v>
      </c>
      <c r="F91" t="s">
        <v>19</v>
      </c>
      <c r="G91" t="s">
        <v>32</v>
      </c>
      <c r="H91" t="s">
        <v>73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t="s">
        <v>34</v>
      </c>
    </row>
    <row r="92" spans="1:15" x14ac:dyDescent="0.35">
      <c r="A92" t="s">
        <v>267</v>
      </c>
      <c r="B92" s="1">
        <v>44980</v>
      </c>
      <c r="C92" t="s">
        <v>45</v>
      </c>
      <c r="D92" t="s">
        <v>49</v>
      </c>
      <c r="E92" t="s">
        <v>169</v>
      </c>
      <c r="F92" t="s">
        <v>68</v>
      </c>
      <c r="G92" t="s">
        <v>20</v>
      </c>
      <c r="H92" t="s">
        <v>264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t="s">
        <v>34</v>
      </c>
    </row>
    <row r="93" spans="1:15" x14ac:dyDescent="0.35">
      <c r="A93" t="s">
        <v>268</v>
      </c>
      <c r="B93" s="1">
        <v>44981</v>
      </c>
      <c r="C93" t="s">
        <v>269</v>
      </c>
      <c r="D93" t="s">
        <v>30</v>
      </c>
      <c r="E93" t="s">
        <v>248</v>
      </c>
      <c r="F93" t="s">
        <v>26</v>
      </c>
      <c r="G93" t="s">
        <v>32</v>
      </c>
      <c r="H93" t="s">
        <v>33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t="s">
        <v>39</v>
      </c>
    </row>
    <row r="94" spans="1:15" x14ac:dyDescent="0.35">
      <c r="A94" t="s">
        <v>270</v>
      </c>
      <c r="B94" s="1">
        <v>44982</v>
      </c>
      <c r="C94" t="s">
        <v>271</v>
      </c>
      <c r="D94" t="s">
        <v>30</v>
      </c>
      <c r="E94" t="s">
        <v>25</v>
      </c>
      <c r="F94" t="s">
        <v>26</v>
      </c>
      <c r="G94" t="s">
        <v>32</v>
      </c>
      <c r="H94" t="s">
        <v>110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t="s">
        <v>56</v>
      </c>
    </row>
    <row r="95" spans="1:15" x14ac:dyDescent="0.35">
      <c r="A95" t="s">
        <v>272</v>
      </c>
      <c r="B95" s="1">
        <v>44982</v>
      </c>
      <c r="C95" t="s">
        <v>273</v>
      </c>
      <c r="D95" t="s">
        <v>17</v>
      </c>
      <c r="E95" t="s">
        <v>59</v>
      </c>
      <c r="F95" t="s">
        <v>60</v>
      </c>
      <c r="G95" t="s">
        <v>69</v>
      </c>
      <c r="H95" t="s">
        <v>79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t="s">
        <v>56</v>
      </c>
    </row>
    <row r="96" spans="1:15" x14ac:dyDescent="0.35">
      <c r="A96" t="s">
        <v>274</v>
      </c>
      <c r="B96" s="1">
        <v>44983</v>
      </c>
      <c r="C96" t="s">
        <v>275</v>
      </c>
      <c r="D96" t="s">
        <v>30</v>
      </c>
      <c r="E96" t="s">
        <v>37</v>
      </c>
      <c r="F96" t="s">
        <v>26</v>
      </c>
      <c r="G96" t="s">
        <v>42</v>
      </c>
      <c r="H96" t="s">
        <v>64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t="s">
        <v>39</v>
      </c>
    </row>
    <row r="97" spans="1:15" x14ac:dyDescent="0.35">
      <c r="A97" t="s">
        <v>276</v>
      </c>
      <c r="B97" s="1">
        <v>44984</v>
      </c>
      <c r="C97" t="s">
        <v>277</v>
      </c>
      <c r="D97" t="s">
        <v>30</v>
      </c>
      <c r="E97" t="s">
        <v>18</v>
      </c>
      <c r="F97" t="s">
        <v>19</v>
      </c>
      <c r="G97" t="s">
        <v>20</v>
      </c>
      <c r="H97" t="s">
        <v>38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t="s">
        <v>39</v>
      </c>
    </row>
    <row r="98" spans="1:15" x14ac:dyDescent="0.35">
      <c r="A98" t="s">
        <v>278</v>
      </c>
      <c r="B98" s="1">
        <v>44984</v>
      </c>
      <c r="C98" t="s">
        <v>279</v>
      </c>
      <c r="D98" t="s">
        <v>30</v>
      </c>
      <c r="E98" t="s">
        <v>121</v>
      </c>
      <c r="F98" t="s">
        <v>68</v>
      </c>
      <c r="G98" t="s">
        <v>32</v>
      </c>
      <c r="H98" t="s">
        <v>73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t="s">
        <v>39</v>
      </c>
    </row>
    <row r="99" spans="1:15" x14ac:dyDescent="0.35">
      <c r="A99" t="s">
        <v>280</v>
      </c>
      <c r="B99" s="1">
        <v>44984</v>
      </c>
      <c r="C99" t="s">
        <v>281</v>
      </c>
      <c r="D99" t="s">
        <v>17</v>
      </c>
      <c r="E99" t="s">
        <v>166</v>
      </c>
      <c r="F99" t="s">
        <v>60</v>
      </c>
      <c r="G99" t="s">
        <v>32</v>
      </c>
      <c r="H99" t="s">
        <v>149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t="s">
        <v>34</v>
      </c>
    </row>
    <row r="100" spans="1:15" x14ac:dyDescent="0.35">
      <c r="A100" t="s">
        <v>282</v>
      </c>
      <c r="B100" s="1">
        <v>44984</v>
      </c>
      <c r="C100" t="s">
        <v>283</v>
      </c>
      <c r="D100" t="s">
        <v>30</v>
      </c>
      <c r="E100" t="s">
        <v>129</v>
      </c>
      <c r="F100" t="s">
        <v>19</v>
      </c>
      <c r="G100" t="s">
        <v>69</v>
      </c>
      <c r="H100" t="s">
        <v>160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t="s">
        <v>34</v>
      </c>
    </row>
    <row r="101" spans="1:15" x14ac:dyDescent="0.35">
      <c r="A101" t="s">
        <v>284</v>
      </c>
      <c r="B101" s="1">
        <v>44986</v>
      </c>
      <c r="C101" t="s">
        <v>285</v>
      </c>
      <c r="D101" t="s">
        <v>30</v>
      </c>
      <c r="E101" t="s">
        <v>148</v>
      </c>
      <c r="F101" t="s">
        <v>60</v>
      </c>
      <c r="G101" t="s">
        <v>20</v>
      </c>
      <c r="H101" t="s">
        <v>199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t="s">
        <v>22</v>
      </c>
    </row>
    <row r="102" spans="1:15" x14ac:dyDescent="0.35">
      <c r="A102" t="s">
        <v>286</v>
      </c>
      <c r="B102" s="1">
        <v>44987</v>
      </c>
      <c r="C102" t="s">
        <v>287</v>
      </c>
      <c r="D102" t="s">
        <v>30</v>
      </c>
      <c r="E102" t="s">
        <v>92</v>
      </c>
      <c r="F102" t="s">
        <v>60</v>
      </c>
      <c r="G102" t="s">
        <v>42</v>
      </c>
      <c r="H102" t="s">
        <v>255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t="s">
        <v>34</v>
      </c>
    </row>
    <row r="103" spans="1:15" x14ac:dyDescent="0.35">
      <c r="A103" t="s">
        <v>288</v>
      </c>
      <c r="B103" s="1">
        <v>44987</v>
      </c>
      <c r="C103" t="s">
        <v>289</v>
      </c>
      <c r="D103" t="s">
        <v>17</v>
      </c>
      <c r="E103" t="s">
        <v>85</v>
      </c>
      <c r="F103" t="s">
        <v>60</v>
      </c>
      <c r="G103" t="s">
        <v>20</v>
      </c>
      <c r="H103" t="s">
        <v>27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t="s">
        <v>34</v>
      </c>
    </row>
    <row r="104" spans="1:15" x14ac:dyDescent="0.35">
      <c r="A104" t="s">
        <v>290</v>
      </c>
      <c r="B104" s="1">
        <v>44987</v>
      </c>
      <c r="C104" t="s">
        <v>291</v>
      </c>
      <c r="D104" t="s">
        <v>30</v>
      </c>
      <c r="E104" t="s">
        <v>37</v>
      </c>
      <c r="F104" t="s">
        <v>26</v>
      </c>
      <c r="G104" t="s">
        <v>32</v>
      </c>
      <c r="H104" t="s">
        <v>132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t="s">
        <v>22</v>
      </c>
    </row>
    <row r="105" spans="1:15" x14ac:dyDescent="0.35">
      <c r="A105" t="s">
        <v>292</v>
      </c>
      <c r="B105" s="1">
        <v>44987</v>
      </c>
      <c r="C105" t="s">
        <v>293</v>
      </c>
      <c r="D105" t="s">
        <v>49</v>
      </c>
      <c r="E105" t="s">
        <v>18</v>
      </c>
      <c r="F105" t="s">
        <v>19</v>
      </c>
      <c r="G105" t="s">
        <v>42</v>
      </c>
      <c r="H105" t="s">
        <v>294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t="s">
        <v>34</v>
      </c>
    </row>
    <row r="106" spans="1:15" x14ac:dyDescent="0.35">
      <c r="A106" t="s">
        <v>295</v>
      </c>
      <c r="B106" s="1">
        <v>44987</v>
      </c>
      <c r="C106" t="s">
        <v>296</v>
      </c>
      <c r="D106" t="s">
        <v>17</v>
      </c>
      <c r="E106" t="s">
        <v>92</v>
      </c>
      <c r="F106" t="s">
        <v>60</v>
      </c>
      <c r="G106" t="s">
        <v>32</v>
      </c>
      <c r="H106" t="s">
        <v>101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t="s">
        <v>39</v>
      </c>
    </row>
    <row r="107" spans="1:15" x14ac:dyDescent="0.35">
      <c r="A107" t="s">
        <v>297</v>
      </c>
      <c r="B107" s="1">
        <v>44987</v>
      </c>
      <c r="C107" t="s">
        <v>298</v>
      </c>
      <c r="D107" t="s">
        <v>49</v>
      </c>
      <c r="E107" t="s">
        <v>92</v>
      </c>
      <c r="F107" t="s">
        <v>60</v>
      </c>
      <c r="G107" t="s">
        <v>20</v>
      </c>
      <c r="H107" t="s">
        <v>21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t="s">
        <v>39</v>
      </c>
    </row>
    <row r="108" spans="1:15" x14ac:dyDescent="0.35">
      <c r="A108" t="s">
        <v>299</v>
      </c>
      <c r="B108" s="1">
        <v>44989</v>
      </c>
      <c r="C108" t="s">
        <v>300</v>
      </c>
      <c r="D108" t="s">
        <v>30</v>
      </c>
      <c r="E108" t="s">
        <v>129</v>
      </c>
      <c r="F108" t="s">
        <v>19</v>
      </c>
      <c r="G108" t="s">
        <v>20</v>
      </c>
      <c r="H108" t="s">
        <v>27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t="s">
        <v>34</v>
      </c>
    </row>
    <row r="109" spans="1:15" x14ac:dyDescent="0.35">
      <c r="A109" t="s">
        <v>301</v>
      </c>
      <c r="B109" s="1">
        <v>44990</v>
      </c>
      <c r="C109" t="s">
        <v>302</v>
      </c>
      <c r="D109" t="s">
        <v>17</v>
      </c>
      <c r="E109" t="s">
        <v>92</v>
      </c>
      <c r="F109" t="s">
        <v>60</v>
      </c>
      <c r="G109" t="s">
        <v>32</v>
      </c>
      <c r="H109" t="s">
        <v>132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t="s">
        <v>34</v>
      </c>
    </row>
    <row r="110" spans="1:15" x14ac:dyDescent="0.35">
      <c r="A110" t="s">
        <v>303</v>
      </c>
      <c r="B110" s="1">
        <v>44991</v>
      </c>
      <c r="C110" t="s">
        <v>304</v>
      </c>
      <c r="D110" t="s">
        <v>30</v>
      </c>
      <c r="E110" t="s">
        <v>76</v>
      </c>
      <c r="F110" t="s">
        <v>26</v>
      </c>
      <c r="G110" t="s">
        <v>69</v>
      </c>
      <c r="H110" t="s">
        <v>305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t="s">
        <v>56</v>
      </c>
    </row>
    <row r="111" spans="1:15" x14ac:dyDescent="0.35">
      <c r="A111" t="s">
        <v>306</v>
      </c>
      <c r="B111" s="1">
        <v>44992</v>
      </c>
      <c r="C111" t="s">
        <v>307</v>
      </c>
      <c r="D111" t="s">
        <v>30</v>
      </c>
      <c r="E111" t="s">
        <v>59</v>
      </c>
      <c r="F111" t="s">
        <v>60</v>
      </c>
      <c r="G111" t="s">
        <v>32</v>
      </c>
      <c r="H111" t="s">
        <v>50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t="s">
        <v>34</v>
      </c>
    </row>
    <row r="112" spans="1:15" x14ac:dyDescent="0.35">
      <c r="A112" t="s">
        <v>308</v>
      </c>
      <c r="B112" s="1">
        <v>44992</v>
      </c>
      <c r="C112" t="s">
        <v>309</v>
      </c>
      <c r="D112" t="s">
        <v>30</v>
      </c>
      <c r="E112" t="s">
        <v>18</v>
      </c>
      <c r="F112" t="s">
        <v>19</v>
      </c>
      <c r="G112" t="s">
        <v>32</v>
      </c>
      <c r="H112" t="s">
        <v>82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t="s">
        <v>56</v>
      </c>
    </row>
    <row r="113" spans="1:15" x14ac:dyDescent="0.35">
      <c r="A113" t="s">
        <v>310</v>
      </c>
      <c r="B113" s="1">
        <v>44993</v>
      </c>
      <c r="C113" t="s">
        <v>311</v>
      </c>
      <c r="D113" t="s">
        <v>17</v>
      </c>
      <c r="E113" t="s">
        <v>37</v>
      </c>
      <c r="F113" t="s">
        <v>26</v>
      </c>
      <c r="G113" t="s">
        <v>32</v>
      </c>
      <c r="H113" t="s">
        <v>101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t="s">
        <v>34</v>
      </c>
    </row>
    <row r="114" spans="1:15" x14ac:dyDescent="0.35">
      <c r="A114" t="s">
        <v>312</v>
      </c>
      <c r="B114" s="1">
        <v>44993</v>
      </c>
      <c r="C114" t="s">
        <v>313</v>
      </c>
      <c r="D114" t="s">
        <v>49</v>
      </c>
      <c r="E114" t="s">
        <v>25</v>
      </c>
      <c r="F114" t="s">
        <v>26</v>
      </c>
      <c r="G114" t="s">
        <v>42</v>
      </c>
      <c r="H114" t="s">
        <v>64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t="s">
        <v>56</v>
      </c>
    </row>
    <row r="115" spans="1:15" x14ac:dyDescent="0.35">
      <c r="A115" t="s">
        <v>314</v>
      </c>
      <c r="B115" s="1">
        <v>44993</v>
      </c>
      <c r="C115" t="s">
        <v>315</v>
      </c>
      <c r="D115" t="s">
        <v>30</v>
      </c>
      <c r="E115" t="s">
        <v>169</v>
      </c>
      <c r="F115" t="s">
        <v>68</v>
      </c>
      <c r="G115" t="s">
        <v>42</v>
      </c>
      <c r="H115" t="s">
        <v>118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t="s">
        <v>34</v>
      </c>
    </row>
    <row r="116" spans="1:15" x14ac:dyDescent="0.35">
      <c r="A116" t="s">
        <v>316</v>
      </c>
      <c r="B116" s="1">
        <v>44993</v>
      </c>
      <c r="C116" t="s">
        <v>317</v>
      </c>
      <c r="D116" t="s">
        <v>17</v>
      </c>
      <c r="E116" t="s">
        <v>169</v>
      </c>
      <c r="F116" t="s">
        <v>68</v>
      </c>
      <c r="G116" t="s">
        <v>42</v>
      </c>
      <c r="H116" t="s">
        <v>93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t="s">
        <v>34</v>
      </c>
    </row>
    <row r="117" spans="1:15" x14ac:dyDescent="0.35">
      <c r="A117" t="s">
        <v>318</v>
      </c>
      <c r="B117" s="1">
        <v>44994</v>
      </c>
      <c r="C117" t="s">
        <v>319</v>
      </c>
      <c r="D117" t="s">
        <v>30</v>
      </c>
      <c r="E117" t="s">
        <v>109</v>
      </c>
      <c r="F117" t="s">
        <v>54</v>
      </c>
      <c r="G117" t="s">
        <v>32</v>
      </c>
      <c r="H117" t="s">
        <v>50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t="s">
        <v>56</v>
      </c>
    </row>
    <row r="118" spans="1:15" x14ac:dyDescent="0.35">
      <c r="A118" t="s">
        <v>320</v>
      </c>
      <c r="B118" s="1">
        <v>44995</v>
      </c>
      <c r="C118" t="s">
        <v>321</v>
      </c>
      <c r="D118" t="s">
        <v>17</v>
      </c>
      <c r="E118" t="s">
        <v>129</v>
      </c>
      <c r="F118" t="s">
        <v>19</v>
      </c>
      <c r="G118" t="s">
        <v>32</v>
      </c>
      <c r="H118" t="s">
        <v>33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t="s">
        <v>22</v>
      </c>
    </row>
    <row r="119" spans="1:15" x14ac:dyDescent="0.35">
      <c r="A119" t="s">
        <v>322</v>
      </c>
      <c r="B119" s="1">
        <v>44995</v>
      </c>
      <c r="C119" t="s">
        <v>323</v>
      </c>
      <c r="D119" t="s">
        <v>49</v>
      </c>
      <c r="E119" t="s">
        <v>37</v>
      </c>
      <c r="F119" t="s">
        <v>26</v>
      </c>
      <c r="G119" t="s">
        <v>20</v>
      </c>
      <c r="H119" t="s">
        <v>27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t="s">
        <v>34</v>
      </c>
    </row>
    <row r="120" spans="1:15" x14ac:dyDescent="0.35">
      <c r="A120" t="s">
        <v>324</v>
      </c>
      <c r="B120" s="1">
        <v>44996</v>
      </c>
      <c r="C120" t="s">
        <v>325</v>
      </c>
      <c r="D120" t="s">
        <v>30</v>
      </c>
      <c r="E120" t="s">
        <v>37</v>
      </c>
      <c r="F120" t="s">
        <v>26</v>
      </c>
      <c r="G120" t="s">
        <v>32</v>
      </c>
      <c r="H120" t="s">
        <v>33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t="s">
        <v>22</v>
      </c>
    </row>
    <row r="121" spans="1:15" x14ac:dyDescent="0.35">
      <c r="A121" t="s">
        <v>326</v>
      </c>
      <c r="B121" s="1">
        <v>44997</v>
      </c>
      <c r="C121" t="s">
        <v>327</v>
      </c>
      <c r="D121" t="s">
        <v>17</v>
      </c>
      <c r="E121" t="s">
        <v>37</v>
      </c>
      <c r="F121" t="s">
        <v>26</v>
      </c>
      <c r="G121" t="s">
        <v>20</v>
      </c>
      <c r="H121" t="s">
        <v>106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t="s">
        <v>34</v>
      </c>
    </row>
    <row r="122" spans="1:15" x14ac:dyDescent="0.35">
      <c r="A122" t="s">
        <v>328</v>
      </c>
      <c r="B122" s="1">
        <v>44998</v>
      </c>
      <c r="C122" t="s">
        <v>329</v>
      </c>
      <c r="D122" t="s">
        <v>30</v>
      </c>
      <c r="E122" t="s">
        <v>148</v>
      </c>
      <c r="F122" t="s">
        <v>60</v>
      </c>
      <c r="G122" t="s">
        <v>32</v>
      </c>
      <c r="H122" t="s">
        <v>50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t="s">
        <v>34</v>
      </c>
    </row>
    <row r="123" spans="1:15" x14ac:dyDescent="0.35">
      <c r="A123" t="s">
        <v>330</v>
      </c>
      <c r="B123" s="1">
        <v>44998</v>
      </c>
      <c r="C123" t="s">
        <v>331</v>
      </c>
      <c r="D123" t="s">
        <v>30</v>
      </c>
      <c r="E123" t="s">
        <v>138</v>
      </c>
      <c r="F123" t="s">
        <v>54</v>
      </c>
      <c r="G123" t="s">
        <v>69</v>
      </c>
      <c r="H123" t="s">
        <v>79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t="s">
        <v>39</v>
      </c>
    </row>
    <row r="124" spans="1:15" x14ac:dyDescent="0.35">
      <c r="A124" t="s">
        <v>332</v>
      </c>
      <c r="B124" s="1">
        <v>45000</v>
      </c>
      <c r="C124" t="s">
        <v>333</v>
      </c>
      <c r="D124" t="s">
        <v>17</v>
      </c>
      <c r="E124" t="s">
        <v>53</v>
      </c>
      <c r="F124" t="s">
        <v>54</v>
      </c>
      <c r="G124" t="s">
        <v>20</v>
      </c>
      <c r="H124" t="s">
        <v>122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t="s">
        <v>39</v>
      </c>
    </row>
    <row r="125" spans="1:15" x14ac:dyDescent="0.35">
      <c r="A125" t="s">
        <v>334</v>
      </c>
      <c r="B125" s="1">
        <v>45000</v>
      </c>
      <c r="C125" t="s">
        <v>335</v>
      </c>
      <c r="D125" t="s">
        <v>49</v>
      </c>
      <c r="E125" t="s">
        <v>31</v>
      </c>
      <c r="F125" t="s">
        <v>19</v>
      </c>
      <c r="G125" t="s">
        <v>20</v>
      </c>
      <c r="H125" t="s">
        <v>27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t="s">
        <v>34</v>
      </c>
    </row>
    <row r="126" spans="1:15" x14ac:dyDescent="0.35">
      <c r="A126" t="s">
        <v>336</v>
      </c>
      <c r="B126" s="1">
        <v>45001</v>
      </c>
      <c r="C126" t="s">
        <v>337</v>
      </c>
      <c r="D126" t="s">
        <v>30</v>
      </c>
      <c r="E126" t="s">
        <v>169</v>
      </c>
      <c r="F126" t="s">
        <v>68</v>
      </c>
      <c r="G126" t="s">
        <v>69</v>
      </c>
      <c r="H126" t="s">
        <v>305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t="s">
        <v>34</v>
      </c>
    </row>
    <row r="127" spans="1:15" x14ac:dyDescent="0.35">
      <c r="A127" t="s">
        <v>338</v>
      </c>
      <c r="B127" s="1">
        <v>45001</v>
      </c>
      <c r="C127" t="s">
        <v>339</v>
      </c>
      <c r="D127" t="s">
        <v>30</v>
      </c>
      <c r="E127" t="s">
        <v>59</v>
      </c>
      <c r="F127" t="s">
        <v>60</v>
      </c>
      <c r="G127" t="s">
        <v>32</v>
      </c>
      <c r="H127" t="s">
        <v>33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t="s">
        <v>39</v>
      </c>
    </row>
    <row r="128" spans="1:15" x14ac:dyDescent="0.35">
      <c r="A128" t="s">
        <v>340</v>
      </c>
      <c r="B128" s="1">
        <v>45002</v>
      </c>
      <c r="C128" t="s">
        <v>341</v>
      </c>
      <c r="D128" t="s">
        <v>30</v>
      </c>
      <c r="E128" t="s">
        <v>63</v>
      </c>
      <c r="F128" t="s">
        <v>54</v>
      </c>
      <c r="G128" t="s">
        <v>20</v>
      </c>
      <c r="H128" t="s">
        <v>27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t="s">
        <v>34</v>
      </c>
    </row>
    <row r="129" spans="1:15" x14ac:dyDescent="0.35">
      <c r="A129" t="s">
        <v>342</v>
      </c>
      <c r="B129" s="1">
        <v>45003</v>
      </c>
      <c r="C129" t="s">
        <v>343</v>
      </c>
      <c r="D129" t="s">
        <v>30</v>
      </c>
      <c r="E129" t="s">
        <v>85</v>
      </c>
      <c r="F129" t="s">
        <v>60</v>
      </c>
      <c r="G129" t="s">
        <v>69</v>
      </c>
      <c r="H129" t="s">
        <v>305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t="s">
        <v>22</v>
      </c>
    </row>
    <row r="130" spans="1:15" x14ac:dyDescent="0.35">
      <c r="A130" t="s">
        <v>344</v>
      </c>
      <c r="B130" s="1">
        <v>45003</v>
      </c>
      <c r="C130" t="s">
        <v>345</v>
      </c>
      <c r="D130" t="s">
        <v>49</v>
      </c>
      <c r="E130" t="s">
        <v>76</v>
      </c>
      <c r="F130" t="s">
        <v>26</v>
      </c>
      <c r="G130" t="s">
        <v>42</v>
      </c>
      <c r="H130" t="s">
        <v>89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t="s">
        <v>39</v>
      </c>
    </row>
    <row r="131" spans="1:15" x14ac:dyDescent="0.35">
      <c r="A131" t="s">
        <v>346</v>
      </c>
      <c r="B131" s="1">
        <v>45004</v>
      </c>
      <c r="C131" t="s">
        <v>347</v>
      </c>
      <c r="D131" t="s">
        <v>30</v>
      </c>
      <c r="E131" t="s">
        <v>18</v>
      </c>
      <c r="F131" t="s">
        <v>19</v>
      </c>
      <c r="G131" t="s">
        <v>32</v>
      </c>
      <c r="H131" t="s">
        <v>348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t="s">
        <v>56</v>
      </c>
    </row>
    <row r="132" spans="1:15" x14ac:dyDescent="0.35">
      <c r="A132" t="s">
        <v>349</v>
      </c>
      <c r="B132" s="1">
        <v>45006</v>
      </c>
      <c r="C132" t="s">
        <v>350</v>
      </c>
      <c r="D132" t="s">
        <v>30</v>
      </c>
      <c r="E132" t="s">
        <v>109</v>
      </c>
      <c r="F132" t="s">
        <v>54</v>
      </c>
      <c r="G132" t="s">
        <v>42</v>
      </c>
      <c r="H132" t="s">
        <v>118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t="s">
        <v>34</v>
      </c>
    </row>
    <row r="133" spans="1:15" x14ac:dyDescent="0.35">
      <c r="A133" t="s">
        <v>351</v>
      </c>
      <c r="B133" s="1">
        <v>45007</v>
      </c>
      <c r="C133" t="s">
        <v>352</v>
      </c>
      <c r="D133" t="s">
        <v>30</v>
      </c>
      <c r="E133" t="s">
        <v>18</v>
      </c>
      <c r="F133" t="s">
        <v>19</v>
      </c>
      <c r="G133" t="s">
        <v>32</v>
      </c>
      <c r="H133" t="s">
        <v>115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t="s">
        <v>56</v>
      </c>
    </row>
    <row r="134" spans="1:15" x14ac:dyDescent="0.35">
      <c r="A134" t="s">
        <v>353</v>
      </c>
      <c r="B134" s="1">
        <v>45008</v>
      </c>
      <c r="C134" t="s">
        <v>354</v>
      </c>
      <c r="D134" t="s">
        <v>30</v>
      </c>
      <c r="E134" t="s">
        <v>63</v>
      </c>
      <c r="F134" t="s">
        <v>54</v>
      </c>
      <c r="G134" t="s">
        <v>42</v>
      </c>
      <c r="H134" t="s">
        <v>64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t="s">
        <v>34</v>
      </c>
    </row>
    <row r="135" spans="1:15" x14ac:dyDescent="0.35">
      <c r="A135" t="s">
        <v>355</v>
      </c>
      <c r="B135" s="1">
        <v>45008</v>
      </c>
      <c r="C135" t="s">
        <v>356</v>
      </c>
      <c r="D135" t="s">
        <v>17</v>
      </c>
      <c r="E135" t="s">
        <v>59</v>
      </c>
      <c r="F135" t="s">
        <v>60</v>
      </c>
      <c r="G135" t="s">
        <v>42</v>
      </c>
      <c r="H135" t="s">
        <v>89</v>
      </c>
      <c r="I135">
        <v>12</v>
      </c>
      <c r="J135">
        <v>334.56</v>
      </c>
      <c r="K135">
        <v>5</v>
      </c>
      <c r="L135">
        <v>3813.98</v>
      </c>
      <c r="M135">
        <v>35.07</v>
      </c>
      <c r="N135">
        <v>1370.08</v>
      </c>
      <c r="O135" t="s">
        <v>39</v>
      </c>
    </row>
    <row r="136" spans="1:15" x14ac:dyDescent="0.35">
      <c r="A136" t="s">
        <v>357</v>
      </c>
      <c r="B136" s="1">
        <v>45008</v>
      </c>
      <c r="C136" t="s">
        <v>358</v>
      </c>
      <c r="D136" t="s">
        <v>30</v>
      </c>
      <c r="E136" t="s">
        <v>67</v>
      </c>
      <c r="F136" t="s">
        <v>68</v>
      </c>
      <c r="G136" t="s">
        <v>42</v>
      </c>
      <c r="H136" t="s">
        <v>118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t="s">
        <v>56</v>
      </c>
    </row>
    <row r="137" spans="1:15" x14ac:dyDescent="0.35">
      <c r="A137" t="s">
        <v>359</v>
      </c>
      <c r="B137" s="1">
        <v>45009</v>
      </c>
      <c r="C137" t="s">
        <v>360</v>
      </c>
      <c r="D137" t="s">
        <v>30</v>
      </c>
      <c r="E137" t="s">
        <v>166</v>
      </c>
      <c r="F137" t="s">
        <v>60</v>
      </c>
      <c r="G137" t="s">
        <v>69</v>
      </c>
      <c r="H137" t="s">
        <v>196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t="s">
        <v>39</v>
      </c>
    </row>
    <row r="138" spans="1:15" x14ac:dyDescent="0.35">
      <c r="A138" t="s">
        <v>361</v>
      </c>
      <c r="B138" s="1">
        <v>45010</v>
      </c>
      <c r="C138" t="s">
        <v>362</v>
      </c>
      <c r="D138" t="s">
        <v>17</v>
      </c>
      <c r="E138" t="s">
        <v>129</v>
      </c>
      <c r="F138" t="s">
        <v>19</v>
      </c>
      <c r="G138" t="s">
        <v>69</v>
      </c>
      <c r="H138" t="s">
        <v>163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t="s">
        <v>22</v>
      </c>
    </row>
    <row r="139" spans="1:15" x14ac:dyDescent="0.35">
      <c r="A139" t="s">
        <v>363</v>
      </c>
      <c r="B139" s="1">
        <v>45010</v>
      </c>
      <c r="C139" t="s">
        <v>364</v>
      </c>
      <c r="D139" t="s">
        <v>49</v>
      </c>
      <c r="E139" t="s">
        <v>18</v>
      </c>
      <c r="F139" t="s">
        <v>19</v>
      </c>
      <c r="G139" t="s">
        <v>42</v>
      </c>
      <c r="H139" t="s">
        <v>255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t="s">
        <v>34</v>
      </c>
    </row>
    <row r="140" spans="1:15" x14ac:dyDescent="0.35">
      <c r="A140" t="s">
        <v>365</v>
      </c>
      <c r="B140" s="1">
        <v>45011</v>
      </c>
      <c r="C140" t="s">
        <v>366</v>
      </c>
      <c r="D140" t="s">
        <v>17</v>
      </c>
      <c r="E140" t="s">
        <v>25</v>
      </c>
      <c r="F140" t="s">
        <v>26</v>
      </c>
      <c r="G140" t="s">
        <v>69</v>
      </c>
      <c r="H140" t="s">
        <v>160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t="s">
        <v>34</v>
      </c>
    </row>
    <row r="141" spans="1:15" x14ac:dyDescent="0.35">
      <c r="A141" t="s">
        <v>367</v>
      </c>
      <c r="B141" s="1">
        <v>45011</v>
      </c>
      <c r="C141" t="s">
        <v>368</v>
      </c>
      <c r="D141" t="s">
        <v>17</v>
      </c>
      <c r="E141" t="s">
        <v>121</v>
      </c>
      <c r="F141" t="s">
        <v>68</v>
      </c>
      <c r="G141" t="s">
        <v>20</v>
      </c>
      <c r="H141" t="s">
        <v>21</v>
      </c>
      <c r="I141">
        <v>5</v>
      </c>
      <c r="J141">
        <v>239.45</v>
      </c>
      <c r="K141">
        <v>5</v>
      </c>
      <c r="L141">
        <v>1137.3900000000001</v>
      </c>
      <c r="M141">
        <v>14.61</v>
      </c>
      <c r="N141">
        <v>464.29</v>
      </c>
      <c r="O141" t="s">
        <v>39</v>
      </c>
    </row>
    <row r="142" spans="1:15" x14ac:dyDescent="0.35">
      <c r="A142" t="s">
        <v>369</v>
      </c>
      <c r="B142" s="1">
        <v>45011</v>
      </c>
      <c r="C142" t="s">
        <v>370</v>
      </c>
      <c r="D142" t="s">
        <v>30</v>
      </c>
      <c r="E142" t="s">
        <v>92</v>
      </c>
      <c r="F142" t="s">
        <v>60</v>
      </c>
      <c r="G142" t="s">
        <v>42</v>
      </c>
      <c r="H142" t="s">
        <v>371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t="s">
        <v>34</v>
      </c>
    </row>
    <row r="143" spans="1:15" x14ac:dyDescent="0.35">
      <c r="A143" t="s">
        <v>372</v>
      </c>
      <c r="B143" s="1">
        <v>45012</v>
      </c>
      <c r="C143" t="s">
        <v>373</v>
      </c>
      <c r="D143" t="s">
        <v>30</v>
      </c>
      <c r="E143" t="s">
        <v>129</v>
      </c>
      <c r="F143" t="s">
        <v>19</v>
      </c>
      <c r="G143" t="s">
        <v>69</v>
      </c>
      <c r="H143" t="s">
        <v>98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t="s">
        <v>39</v>
      </c>
    </row>
    <row r="144" spans="1:15" x14ac:dyDescent="0.35">
      <c r="A144" t="s">
        <v>374</v>
      </c>
      <c r="B144" s="1">
        <v>45012</v>
      </c>
      <c r="C144" t="s">
        <v>375</v>
      </c>
      <c r="D144" t="s">
        <v>30</v>
      </c>
      <c r="E144" t="s">
        <v>25</v>
      </c>
      <c r="F144" t="s">
        <v>26</v>
      </c>
      <c r="G144" t="s">
        <v>69</v>
      </c>
      <c r="H144" t="s">
        <v>86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t="s">
        <v>34</v>
      </c>
    </row>
    <row r="145" spans="1:15" x14ac:dyDescent="0.35">
      <c r="A145" t="s">
        <v>376</v>
      </c>
      <c r="B145" s="1">
        <v>45014</v>
      </c>
      <c r="C145" t="s">
        <v>377</v>
      </c>
      <c r="D145" t="s">
        <v>49</v>
      </c>
      <c r="E145" t="s">
        <v>63</v>
      </c>
      <c r="F145" t="s">
        <v>54</v>
      </c>
      <c r="G145" t="s">
        <v>69</v>
      </c>
      <c r="H145" t="s">
        <v>305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t="s">
        <v>34</v>
      </c>
    </row>
    <row r="146" spans="1:15" x14ac:dyDescent="0.35">
      <c r="A146" t="s">
        <v>378</v>
      </c>
      <c r="B146" s="1">
        <v>45014</v>
      </c>
      <c r="C146" t="s">
        <v>379</v>
      </c>
      <c r="D146" t="s">
        <v>30</v>
      </c>
      <c r="E146" t="s">
        <v>31</v>
      </c>
      <c r="F146" t="s">
        <v>19</v>
      </c>
      <c r="G146" t="s">
        <v>20</v>
      </c>
      <c r="H146" t="s">
        <v>199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t="s">
        <v>39</v>
      </c>
    </row>
    <row r="147" spans="1:15" x14ac:dyDescent="0.35">
      <c r="A147" t="s">
        <v>380</v>
      </c>
      <c r="B147" s="1">
        <v>45014</v>
      </c>
      <c r="C147" t="s">
        <v>381</v>
      </c>
      <c r="D147" t="s">
        <v>30</v>
      </c>
      <c r="E147" t="s">
        <v>129</v>
      </c>
      <c r="F147" t="s">
        <v>19</v>
      </c>
      <c r="G147" t="s">
        <v>32</v>
      </c>
      <c r="H147" t="s">
        <v>50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t="s">
        <v>56</v>
      </c>
    </row>
    <row r="148" spans="1:15" x14ac:dyDescent="0.35">
      <c r="A148" t="s">
        <v>382</v>
      </c>
      <c r="B148" s="1">
        <v>45014</v>
      </c>
      <c r="C148" t="s">
        <v>383</v>
      </c>
      <c r="D148" t="s">
        <v>17</v>
      </c>
      <c r="E148" t="s">
        <v>18</v>
      </c>
      <c r="F148" t="s">
        <v>19</v>
      </c>
      <c r="G148" t="s">
        <v>32</v>
      </c>
      <c r="H148" t="s">
        <v>73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t="s">
        <v>34</v>
      </c>
    </row>
    <row r="149" spans="1:15" x14ac:dyDescent="0.35">
      <c r="A149" t="s">
        <v>384</v>
      </c>
      <c r="B149" s="1">
        <v>45014</v>
      </c>
      <c r="C149" t="s">
        <v>385</v>
      </c>
      <c r="D149" t="s">
        <v>49</v>
      </c>
      <c r="E149" t="s">
        <v>59</v>
      </c>
      <c r="F149" t="s">
        <v>60</v>
      </c>
      <c r="G149" t="s">
        <v>20</v>
      </c>
      <c r="H149" t="s">
        <v>122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t="s">
        <v>34</v>
      </c>
    </row>
    <row r="150" spans="1:15" x14ac:dyDescent="0.35">
      <c r="A150" t="s">
        <v>386</v>
      </c>
      <c r="B150" s="1">
        <v>45015</v>
      </c>
      <c r="C150" t="s">
        <v>387</v>
      </c>
      <c r="D150" t="s">
        <v>30</v>
      </c>
      <c r="E150" t="s">
        <v>25</v>
      </c>
      <c r="F150" t="s">
        <v>26</v>
      </c>
      <c r="G150" t="s">
        <v>20</v>
      </c>
      <c r="H150" t="s">
        <v>122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t="s">
        <v>56</v>
      </c>
    </row>
    <row r="151" spans="1:15" x14ac:dyDescent="0.35">
      <c r="A151" t="s">
        <v>388</v>
      </c>
      <c r="B151" s="1">
        <v>45016</v>
      </c>
      <c r="C151" t="s">
        <v>389</v>
      </c>
      <c r="D151" t="s">
        <v>17</v>
      </c>
      <c r="E151" t="s">
        <v>85</v>
      </c>
      <c r="F151" t="s">
        <v>60</v>
      </c>
      <c r="G151" t="s">
        <v>42</v>
      </c>
      <c r="H151" t="s">
        <v>371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t="s">
        <v>22</v>
      </c>
    </row>
    <row r="152" spans="1:15" x14ac:dyDescent="0.35">
      <c r="A152" t="s">
        <v>390</v>
      </c>
      <c r="B152" s="1">
        <v>45017</v>
      </c>
      <c r="C152" t="s">
        <v>391</v>
      </c>
      <c r="D152" t="s">
        <v>30</v>
      </c>
      <c r="E152" t="s">
        <v>37</v>
      </c>
      <c r="F152" t="s">
        <v>26</v>
      </c>
      <c r="G152" t="s">
        <v>20</v>
      </c>
      <c r="H152" t="s">
        <v>106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t="s">
        <v>39</v>
      </c>
    </row>
    <row r="153" spans="1:15" x14ac:dyDescent="0.35">
      <c r="A153" t="s">
        <v>392</v>
      </c>
      <c r="B153" s="1">
        <v>45017</v>
      </c>
      <c r="C153" t="s">
        <v>393</v>
      </c>
      <c r="D153" t="s">
        <v>17</v>
      </c>
      <c r="E153" t="s">
        <v>18</v>
      </c>
      <c r="F153" t="s">
        <v>19</v>
      </c>
      <c r="G153" t="s">
        <v>69</v>
      </c>
      <c r="H153" t="s">
        <v>163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t="s">
        <v>39</v>
      </c>
    </row>
    <row r="154" spans="1:15" x14ac:dyDescent="0.35">
      <c r="A154" t="s">
        <v>394</v>
      </c>
      <c r="B154" s="1">
        <v>45018</v>
      </c>
      <c r="C154" t="s">
        <v>395</v>
      </c>
      <c r="D154" t="s">
        <v>17</v>
      </c>
      <c r="E154" t="s">
        <v>138</v>
      </c>
      <c r="F154" t="s">
        <v>54</v>
      </c>
      <c r="G154" t="s">
        <v>69</v>
      </c>
      <c r="H154" t="s">
        <v>163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t="s">
        <v>56</v>
      </c>
    </row>
    <row r="155" spans="1:15" x14ac:dyDescent="0.35">
      <c r="A155" t="s">
        <v>396</v>
      </c>
      <c r="B155" s="1">
        <v>45018</v>
      </c>
      <c r="C155" t="s">
        <v>397</v>
      </c>
      <c r="D155" t="s">
        <v>30</v>
      </c>
      <c r="E155" t="s">
        <v>121</v>
      </c>
      <c r="F155" t="s">
        <v>68</v>
      </c>
      <c r="G155" t="s">
        <v>20</v>
      </c>
      <c r="H155" t="s">
        <v>175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t="s">
        <v>39</v>
      </c>
    </row>
    <row r="156" spans="1:15" x14ac:dyDescent="0.35">
      <c r="A156" t="s">
        <v>398</v>
      </c>
      <c r="B156" s="1">
        <v>45018</v>
      </c>
      <c r="C156" t="s">
        <v>399</v>
      </c>
      <c r="D156" t="s">
        <v>30</v>
      </c>
      <c r="E156" t="s">
        <v>63</v>
      </c>
      <c r="F156" t="s">
        <v>54</v>
      </c>
      <c r="G156" t="s">
        <v>42</v>
      </c>
      <c r="H156" t="s">
        <v>43</v>
      </c>
      <c r="I156">
        <v>6</v>
      </c>
      <c r="J156">
        <v>241.26</v>
      </c>
      <c r="K156">
        <v>0</v>
      </c>
      <c r="L156">
        <v>1447.56</v>
      </c>
      <c r="M156">
        <v>14.56</v>
      </c>
      <c r="N156">
        <v>564.46</v>
      </c>
      <c r="O156" t="s">
        <v>34</v>
      </c>
    </row>
    <row r="157" spans="1:15" x14ac:dyDescent="0.35">
      <c r="A157" t="s">
        <v>400</v>
      </c>
      <c r="B157" s="1">
        <v>45018</v>
      </c>
      <c r="C157" t="s">
        <v>401</v>
      </c>
      <c r="D157" t="s">
        <v>30</v>
      </c>
      <c r="E157" t="s">
        <v>138</v>
      </c>
      <c r="F157" t="s">
        <v>54</v>
      </c>
      <c r="G157" t="s">
        <v>42</v>
      </c>
      <c r="H157" t="s">
        <v>118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t="s">
        <v>22</v>
      </c>
    </row>
    <row r="158" spans="1:15" x14ac:dyDescent="0.35">
      <c r="A158" t="s">
        <v>402</v>
      </c>
      <c r="B158" s="1">
        <v>45019</v>
      </c>
      <c r="C158" t="s">
        <v>403</v>
      </c>
      <c r="D158" t="s">
        <v>17</v>
      </c>
      <c r="E158" t="s">
        <v>25</v>
      </c>
      <c r="F158" t="s">
        <v>26</v>
      </c>
      <c r="G158" t="s">
        <v>42</v>
      </c>
      <c r="H158" t="s">
        <v>93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t="s">
        <v>34</v>
      </c>
    </row>
    <row r="159" spans="1:15" x14ac:dyDescent="0.35">
      <c r="A159" t="s">
        <v>404</v>
      </c>
      <c r="B159" s="1">
        <v>45020</v>
      </c>
      <c r="C159" t="s">
        <v>405</v>
      </c>
      <c r="D159" t="s">
        <v>17</v>
      </c>
      <c r="E159" t="s">
        <v>31</v>
      </c>
      <c r="F159" t="s">
        <v>19</v>
      </c>
      <c r="G159" t="s">
        <v>32</v>
      </c>
      <c r="H159" t="s">
        <v>149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t="s">
        <v>39</v>
      </c>
    </row>
    <row r="160" spans="1:15" x14ac:dyDescent="0.35">
      <c r="A160" t="s">
        <v>406</v>
      </c>
      <c r="B160" s="1">
        <v>45020</v>
      </c>
      <c r="C160" t="s">
        <v>407</v>
      </c>
      <c r="D160" t="s">
        <v>49</v>
      </c>
      <c r="E160" t="s">
        <v>67</v>
      </c>
      <c r="F160" t="s">
        <v>68</v>
      </c>
      <c r="G160" t="s">
        <v>20</v>
      </c>
      <c r="H160" t="s">
        <v>199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t="s">
        <v>22</v>
      </c>
    </row>
    <row r="161" spans="1:15" x14ac:dyDescent="0.35">
      <c r="A161" t="s">
        <v>408</v>
      </c>
      <c r="B161" s="1">
        <v>45020</v>
      </c>
      <c r="C161" t="s">
        <v>409</v>
      </c>
      <c r="D161" t="s">
        <v>17</v>
      </c>
      <c r="E161" t="s">
        <v>31</v>
      </c>
      <c r="F161" t="s">
        <v>19</v>
      </c>
      <c r="G161" t="s">
        <v>32</v>
      </c>
      <c r="H161" t="s">
        <v>115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t="s">
        <v>39</v>
      </c>
    </row>
    <row r="162" spans="1:15" x14ac:dyDescent="0.35">
      <c r="A162" t="s">
        <v>410</v>
      </c>
      <c r="B162" s="1">
        <v>45020</v>
      </c>
      <c r="C162" t="s">
        <v>411</v>
      </c>
      <c r="D162" t="s">
        <v>17</v>
      </c>
      <c r="E162" t="s">
        <v>248</v>
      </c>
      <c r="F162" t="s">
        <v>26</v>
      </c>
      <c r="G162" t="s">
        <v>20</v>
      </c>
      <c r="H162" t="s">
        <v>175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t="s">
        <v>34</v>
      </c>
    </row>
    <row r="163" spans="1:15" x14ac:dyDescent="0.35">
      <c r="A163" t="s">
        <v>412</v>
      </c>
      <c r="B163" s="1">
        <v>45020</v>
      </c>
      <c r="C163" t="s">
        <v>413</v>
      </c>
      <c r="D163" t="s">
        <v>30</v>
      </c>
      <c r="E163" t="s">
        <v>31</v>
      </c>
      <c r="F163" t="s">
        <v>19</v>
      </c>
      <c r="G163" t="s">
        <v>32</v>
      </c>
      <c r="H163" t="s">
        <v>132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t="s">
        <v>56</v>
      </c>
    </row>
    <row r="164" spans="1:15" x14ac:dyDescent="0.35">
      <c r="A164" t="s">
        <v>414</v>
      </c>
      <c r="B164" s="1">
        <v>45021</v>
      </c>
      <c r="C164" t="s">
        <v>415</v>
      </c>
      <c r="D164" t="s">
        <v>30</v>
      </c>
      <c r="E164" t="s">
        <v>18</v>
      </c>
      <c r="F164" t="s">
        <v>19</v>
      </c>
      <c r="G164" t="s">
        <v>42</v>
      </c>
      <c r="H164" t="s">
        <v>93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t="s">
        <v>39</v>
      </c>
    </row>
    <row r="165" spans="1:15" x14ac:dyDescent="0.35">
      <c r="A165" t="s">
        <v>416</v>
      </c>
      <c r="B165" s="1">
        <v>45021</v>
      </c>
      <c r="C165" t="s">
        <v>417</v>
      </c>
      <c r="D165" t="s">
        <v>30</v>
      </c>
      <c r="E165" t="s">
        <v>85</v>
      </c>
      <c r="F165" t="s">
        <v>60</v>
      </c>
      <c r="G165" t="s">
        <v>20</v>
      </c>
      <c r="H165" t="s">
        <v>264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t="s">
        <v>22</v>
      </c>
    </row>
    <row r="166" spans="1:15" x14ac:dyDescent="0.35">
      <c r="A166" t="s">
        <v>418</v>
      </c>
      <c r="B166" s="1">
        <v>45021</v>
      </c>
      <c r="C166" t="s">
        <v>419</v>
      </c>
      <c r="D166" t="s">
        <v>30</v>
      </c>
      <c r="E166" t="s">
        <v>166</v>
      </c>
      <c r="F166" t="s">
        <v>60</v>
      </c>
      <c r="G166" t="s">
        <v>32</v>
      </c>
      <c r="H166" t="s">
        <v>33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t="s">
        <v>39</v>
      </c>
    </row>
    <row r="167" spans="1:15" x14ac:dyDescent="0.35">
      <c r="A167" t="s">
        <v>420</v>
      </c>
      <c r="B167" s="1">
        <v>45022</v>
      </c>
      <c r="C167" t="s">
        <v>421</v>
      </c>
      <c r="D167" t="s">
        <v>17</v>
      </c>
      <c r="E167" t="s">
        <v>166</v>
      </c>
      <c r="F167" t="s">
        <v>60</v>
      </c>
      <c r="G167" t="s">
        <v>69</v>
      </c>
      <c r="H167" t="s">
        <v>139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t="s">
        <v>34</v>
      </c>
    </row>
    <row r="168" spans="1:15" x14ac:dyDescent="0.35">
      <c r="A168" t="s">
        <v>422</v>
      </c>
      <c r="B168" s="1">
        <v>45023</v>
      </c>
      <c r="C168" t="s">
        <v>423</v>
      </c>
      <c r="D168" t="s">
        <v>49</v>
      </c>
      <c r="E168" t="s">
        <v>135</v>
      </c>
      <c r="F168" t="s">
        <v>26</v>
      </c>
      <c r="G168" t="s">
        <v>20</v>
      </c>
      <c r="H168" t="s">
        <v>55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t="s">
        <v>39</v>
      </c>
    </row>
    <row r="169" spans="1:15" x14ac:dyDescent="0.35">
      <c r="A169" t="s">
        <v>424</v>
      </c>
      <c r="B169" s="1">
        <v>45023</v>
      </c>
      <c r="C169" t="s">
        <v>425</v>
      </c>
      <c r="D169" t="s">
        <v>17</v>
      </c>
      <c r="E169" t="s">
        <v>67</v>
      </c>
      <c r="F169" t="s">
        <v>68</v>
      </c>
      <c r="G169" t="s">
        <v>20</v>
      </c>
      <c r="H169" t="s">
        <v>27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t="s">
        <v>34</v>
      </c>
    </row>
    <row r="170" spans="1:15" x14ac:dyDescent="0.35">
      <c r="A170" t="s">
        <v>426</v>
      </c>
      <c r="B170" s="1">
        <v>45025</v>
      </c>
      <c r="C170" t="s">
        <v>427</v>
      </c>
      <c r="D170" t="s">
        <v>49</v>
      </c>
      <c r="E170" t="s">
        <v>85</v>
      </c>
      <c r="F170" t="s">
        <v>60</v>
      </c>
      <c r="G170" t="s">
        <v>32</v>
      </c>
      <c r="H170" t="s">
        <v>33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t="s">
        <v>34</v>
      </c>
    </row>
    <row r="171" spans="1:15" x14ac:dyDescent="0.35">
      <c r="A171" t="s">
        <v>428</v>
      </c>
      <c r="B171" s="1">
        <v>45025</v>
      </c>
      <c r="C171" t="s">
        <v>429</v>
      </c>
      <c r="D171" t="s">
        <v>30</v>
      </c>
      <c r="E171" t="s">
        <v>129</v>
      </c>
      <c r="F171" t="s">
        <v>19</v>
      </c>
      <c r="G171" t="s">
        <v>32</v>
      </c>
      <c r="H171" t="s">
        <v>82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t="s">
        <v>34</v>
      </c>
    </row>
    <row r="172" spans="1:15" x14ac:dyDescent="0.35">
      <c r="A172" t="s">
        <v>430</v>
      </c>
      <c r="B172" s="1">
        <v>45025</v>
      </c>
      <c r="C172" t="s">
        <v>431</v>
      </c>
      <c r="D172" t="s">
        <v>17</v>
      </c>
      <c r="E172" t="s">
        <v>148</v>
      </c>
      <c r="F172" t="s">
        <v>60</v>
      </c>
      <c r="G172" t="s">
        <v>42</v>
      </c>
      <c r="H172" t="s">
        <v>255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t="s">
        <v>39</v>
      </c>
    </row>
    <row r="173" spans="1:15" x14ac:dyDescent="0.35">
      <c r="A173" t="s">
        <v>432</v>
      </c>
      <c r="B173" s="1">
        <v>45026</v>
      </c>
      <c r="C173" t="s">
        <v>433</v>
      </c>
      <c r="D173" t="s">
        <v>30</v>
      </c>
      <c r="E173" t="s">
        <v>148</v>
      </c>
      <c r="F173" t="s">
        <v>60</v>
      </c>
      <c r="G173" t="s">
        <v>20</v>
      </c>
      <c r="H173" t="s">
        <v>55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t="s">
        <v>34</v>
      </c>
    </row>
    <row r="174" spans="1:15" x14ac:dyDescent="0.35">
      <c r="A174" t="s">
        <v>434</v>
      </c>
      <c r="B174" s="1">
        <v>45026</v>
      </c>
      <c r="C174" t="s">
        <v>435</v>
      </c>
      <c r="D174" t="s">
        <v>30</v>
      </c>
      <c r="E174" t="s">
        <v>31</v>
      </c>
      <c r="F174" t="s">
        <v>19</v>
      </c>
      <c r="G174" t="s">
        <v>20</v>
      </c>
      <c r="H174" t="s">
        <v>27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t="s">
        <v>39</v>
      </c>
    </row>
    <row r="175" spans="1:15" x14ac:dyDescent="0.35">
      <c r="A175" t="s">
        <v>436</v>
      </c>
      <c r="B175" s="1">
        <v>45029</v>
      </c>
      <c r="C175" t="s">
        <v>437</v>
      </c>
      <c r="D175" t="s">
        <v>17</v>
      </c>
      <c r="E175" t="s">
        <v>129</v>
      </c>
      <c r="F175" t="s">
        <v>19</v>
      </c>
      <c r="G175" t="s">
        <v>42</v>
      </c>
      <c r="H175" t="s">
        <v>294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t="s">
        <v>39</v>
      </c>
    </row>
    <row r="176" spans="1:15" x14ac:dyDescent="0.35">
      <c r="A176" t="s">
        <v>438</v>
      </c>
      <c r="B176" s="1">
        <v>45029</v>
      </c>
      <c r="C176" t="s">
        <v>439</v>
      </c>
      <c r="D176" t="s">
        <v>30</v>
      </c>
      <c r="E176" t="s">
        <v>92</v>
      </c>
      <c r="F176" t="s">
        <v>60</v>
      </c>
      <c r="G176" t="s">
        <v>32</v>
      </c>
      <c r="H176" t="s">
        <v>101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t="s">
        <v>34</v>
      </c>
    </row>
    <row r="177" spans="1:15" x14ac:dyDescent="0.35">
      <c r="A177" t="s">
        <v>440</v>
      </c>
      <c r="B177" s="1">
        <v>45030</v>
      </c>
      <c r="C177" t="s">
        <v>441</v>
      </c>
      <c r="D177" t="s">
        <v>30</v>
      </c>
      <c r="E177" t="s">
        <v>63</v>
      </c>
      <c r="F177" t="s">
        <v>54</v>
      </c>
      <c r="G177" t="s">
        <v>32</v>
      </c>
      <c r="H177" t="s">
        <v>110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t="s">
        <v>39</v>
      </c>
    </row>
    <row r="178" spans="1:15" x14ac:dyDescent="0.35">
      <c r="A178" t="s">
        <v>442</v>
      </c>
      <c r="B178" s="1">
        <v>45031</v>
      </c>
      <c r="C178" t="s">
        <v>443</v>
      </c>
      <c r="D178" t="s">
        <v>30</v>
      </c>
      <c r="E178" t="s">
        <v>53</v>
      </c>
      <c r="F178" t="s">
        <v>54</v>
      </c>
      <c r="G178" t="s">
        <v>42</v>
      </c>
      <c r="H178" t="s">
        <v>43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t="s">
        <v>56</v>
      </c>
    </row>
    <row r="179" spans="1:15" x14ac:dyDescent="0.35">
      <c r="A179" t="s">
        <v>444</v>
      </c>
      <c r="B179" s="1">
        <v>45032</v>
      </c>
      <c r="C179" t="s">
        <v>445</v>
      </c>
      <c r="D179" t="s">
        <v>30</v>
      </c>
      <c r="E179" t="s">
        <v>92</v>
      </c>
      <c r="F179" t="s">
        <v>60</v>
      </c>
      <c r="G179" t="s">
        <v>69</v>
      </c>
      <c r="H179" t="s">
        <v>79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t="s">
        <v>39</v>
      </c>
    </row>
    <row r="180" spans="1:15" x14ac:dyDescent="0.35">
      <c r="A180" t="s">
        <v>446</v>
      </c>
      <c r="B180" s="1">
        <v>45032</v>
      </c>
      <c r="C180" t="s">
        <v>447</v>
      </c>
      <c r="D180" t="s">
        <v>17</v>
      </c>
      <c r="E180" t="s">
        <v>148</v>
      </c>
      <c r="F180" t="s">
        <v>60</v>
      </c>
      <c r="G180" t="s">
        <v>32</v>
      </c>
      <c r="H180" t="s">
        <v>73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t="s">
        <v>39</v>
      </c>
    </row>
    <row r="181" spans="1:15" x14ac:dyDescent="0.35">
      <c r="A181" t="s">
        <v>448</v>
      </c>
      <c r="B181" s="1">
        <v>45032</v>
      </c>
      <c r="C181" t="s">
        <v>449</v>
      </c>
      <c r="D181" t="s">
        <v>30</v>
      </c>
      <c r="E181" t="s">
        <v>31</v>
      </c>
      <c r="F181" t="s">
        <v>19</v>
      </c>
      <c r="G181" t="s">
        <v>20</v>
      </c>
      <c r="H181" t="s">
        <v>122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t="s">
        <v>39</v>
      </c>
    </row>
    <row r="182" spans="1:15" x14ac:dyDescent="0.35">
      <c r="A182" t="s">
        <v>450</v>
      </c>
      <c r="B182" s="1">
        <v>45033</v>
      </c>
      <c r="C182" t="s">
        <v>451</v>
      </c>
      <c r="D182" t="s">
        <v>30</v>
      </c>
      <c r="E182" t="s">
        <v>248</v>
      </c>
      <c r="F182" t="s">
        <v>26</v>
      </c>
      <c r="G182" t="s">
        <v>20</v>
      </c>
      <c r="H182" t="s">
        <v>21</v>
      </c>
      <c r="I182">
        <v>6</v>
      </c>
      <c r="J182">
        <v>209.9</v>
      </c>
      <c r="K182">
        <v>5</v>
      </c>
      <c r="L182">
        <v>1196.43</v>
      </c>
      <c r="M182">
        <v>17.2</v>
      </c>
      <c r="N182">
        <v>486.56</v>
      </c>
      <c r="O182" t="s">
        <v>34</v>
      </c>
    </row>
    <row r="183" spans="1:15" x14ac:dyDescent="0.35">
      <c r="A183" t="s">
        <v>452</v>
      </c>
      <c r="B183" s="1">
        <v>45034</v>
      </c>
      <c r="C183" t="s">
        <v>453</v>
      </c>
      <c r="D183" t="s">
        <v>17</v>
      </c>
      <c r="E183" t="s">
        <v>109</v>
      </c>
      <c r="F183" t="s">
        <v>54</v>
      </c>
      <c r="G183" t="s">
        <v>20</v>
      </c>
      <c r="H183" t="s">
        <v>21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t="s">
        <v>39</v>
      </c>
    </row>
    <row r="184" spans="1:15" x14ac:dyDescent="0.35">
      <c r="A184" t="s">
        <v>454</v>
      </c>
      <c r="B184" s="1">
        <v>45035</v>
      </c>
      <c r="C184" t="s">
        <v>455</v>
      </c>
      <c r="D184" t="s">
        <v>30</v>
      </c>
      <c r="E184" t="s">
        <v>129</v>
      </c>
      <c r="F184" t="s">
        <v>19</v>
      </c>
      <c r="G184" t="s">
        <v>20</v>
      </c>
      <c r="H184" t="s">
        <v>199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t="s">
        <v>34</v>
      </c>
    </row>
    <row r="185" spans="1:15" x14ac:dyDescent="0.35">
      <c r="A185" t="s">
        <v>456</v>
      </c>
      <c r="B185" s="1">
        <v>45035</v>
      </c>
      <c r="C185" t="s">
        <v>457</v>
      </c>
      <c r="D185" t="s">
        <v>17</v>
      </c>
      <c r="E185" t="s">
        <v>18</v>
      </c>
      <c r="F185" t="s">
        <v>19</v>
      </c>
      <c r="G185" t="s">
        <v>20</v>
      </c>
      <c r="H185" t="s">
        <v>21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t="s">
        <v>39</v>
      </c>
    </row>
    <row r="186" spans="1:15" x14ac:dyDescent="0.35">
      <c r="A186" t="s">
        <v>458</v>
      </c>
      <c r="B186" s="1">
        <v>45036</v>
      </c>
      <c r="C186" t="s">
        <v>459</v>
      </c>
      <c r="D186" t="s">
        <v>17</v>
      </c>
      <c r="E186" t="s">
        <v>85</v>
      </c>
      <c r="F186" t="s">
        <v>60</v>
      </c>
      <c r="G186" t="s">
        <v>20</v>
      </c>
      <c r="H186" t="s">
        <v>38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t="s">
        <v>34</v>
      </c>
    </row>
    <row r="187" spans="1:15" x14ac:dyDescent="0.35">
      <c r="A187" t="s">
        <v>460</v>
      </c>
      <c r="B187" s="1">
        <v>45037</v>
      </c>
      <c r="C187" t="s">
        <v>461</v>
      </c>
      <c r="D187" t="s">
        <v>30</v>
      </c>
      <c r="E187" t="s">
        <v>148</v>
      </c>
      <c r="F187" t="s">
        <v>60</v>
      </c>
      <c r="G187" t="s">
        <v>69</v>
      </c>
      <c r="H187" t="s">
        <v>139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t="s">
        <v>34</v>
      </c>
    </row>
    <row r="188" spans="1:15" x14ac:dyDescent="0.35">
      <c r="A188" t="s">
        <v>462</v>
      </c>
      <c r="B188" s="1">
        <v>45037</v>
      </c>
      <c r="C188" t="s">
        <v>463</v>
      </c>
      <c r="D188" t="s">
        <v>30</v>
      </c>
      <c r="E188" t="s">
        <v>135</v>
      </c>
      <c r="F188" t="s">
        <v>26</v>
      </c>
      <c r="G188" t="s">
        <v>42</v>
      </c>
      <c r="H188" t="s">
        <v>371</v>
      </c>
      <c r="I188">
        <v>10</v>
      </c>
      <c r="J188">
        <v>136.46</v>
      </c>
      <c r="K188">
        <v>15</v>
      </c>
      <c r="L188">
        <v>1159.9100000000001</v>
      </c>
      <c r="M188">
        <v>17.75</v>
      </c>
      <c r="N188">
        <v>323.39999999999998</v>
      </c>
      <c r="O188" t="s">
        <v>22</v>
      </c>
    </row>
    <row r="189" spans="1:15" x14ac:dyDescent="0.35">
      <c r="A189" t="s">
        <v>464</v>
      </c>
      <c r="B189" s="1">
        <v>45037</v>
      </c>
      <c r="C189" t="s">
        <v>465</v>
      </c>
      <c r="D189" t="s">
        <v>30</v>
      </c>
      <c r="E189" t="s">
        <v>129</v>
      </c>
      <c r="F189" t="s">
        <v>19</v>
      </c>
      <c r="G189" t="s">
        <v>42</v>
      </c>
      <c r="H189" t="s">
        <v>89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t="s">
        <v>34</v>
      </c>
    </row>
    <row r="190" spans="1:15" x14ac:dyDescent="0.35">
      <c r="A190" t="s">
        <v>466</v>
      </c>
      <c r="B190" s="1">
        <v>45038</v>
      </c>
      <c r="C190" t="s">
        <v>467</v>
      </c>
      <c r="D190" t="s">
        <v>17</v>
      </c>
      <c r="E190" t="s">
        <v>138</v>
      </c>
      <c r="F190" t="s">
        <v>54</v>
      </c>
      <c r="G190" t="s">
        <v>42</v>
      </c>
      <c r="H190" t="s">
        <v>46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t="s">
        <v>39</v>
      </c>
    </row>
    <row r="191" spans="1:15" x14ac:dyDescent="0.35">
      <c r="A191" t="s">
        <v>468</v>
      </c>
      <c r="B191" s="1">
        <v>45039</v>
      </c>
      <c r="C191" t="s">
        <v>469</v>
      </c>
      <c r="D191" t="s">
        <v>17</v>
      </c>
      <c r="E191" t="s">
        <v>166</v>
      </c>
      <c r="F191" t="s">
        <v>60</v>
      </c>
      <c r="G191" t="s">
        <v>42</v>
      </c>
      <c r="H191" t="s">
        <v>255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t="s">
        <v>34</v>
      </c>
    </row>
    <row r="192" spans="1:15" x14ac:dyDescent="0.35">
      <c r="A192" t="s">
        <v>470</v>
      </c>
      <c r="B192" s="1">
        <v>45040</v>
      </c>
      <c r="C192" t="s">
        <v>471</v>
      </c>
      <c r="D192" t="s">
        <v>49</v>
      </c>
      <c r="E192" t="s">
        <v>135</v>
      </c>
      <c r="F192" t="s">
        <v>26</v>
      </c>
      <c r="G192" t="s">
        <v>42</v>
      </c>
      <c r="H192" t="s">
        <v>371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t="s">
        <v>39</v>
      </c>
    </row>
    <row r="193" spans="1:15" x14ac:dyDescent="0.35">
      <c r="A193" t="s">
        <v>472</v>
      </c>
      <c r="B193" s="1">
        <v>45041</v>
      </c>
      <c r="C193" t="s">
        <v>473</v>
      </c>
      <c r="D193" t="s">
        <v>17</v>
      </c>
      <c r="E193" t="s">
        <v>85</v>
      </c>
      <c r="F193" t="s">
        <v>60</v>
      </c>
      <c r="G193" t="s">
        <v>69</v>
      </c>
      <c r="H193" t="s">
        <v>98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t="s">
        <v>22</v>
      </c>
    </row>
    <row r="194" spans="1:15" x14ac:dyDescent="0.35">
      <c r="A194" t="s">
        <v>474</v>
      </c>
      <c r="B194" s="1">
        <v>45041</v>
      </c>
      <c r="C194" t="s">
        <v>475</v>
      </c>
      <c r="D194" t="s">
        <v>30</v>
      </c>
      <c r="E194" t="s">
        <v>59</v>
      </c>
      <c r="F194" t="s">
        <v>60</v>
      </c>
      <c r="G194" t="s">
        <v>69</v>
      </c>
      <c r="H194" t="s">
        <v>243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t="s">
        <v>34</v>
      </c>
    </row>
    <row r="195" spans="1:15" x14ac:dyDescent="0.35">
      <c r="A195" t="s">
        <v>476</v>
      </c>
      <c r="B195" s="1">
        <v>45041</v>
      </c>
      <c r="C195" t="s">
        <v>477</v>
      </c>
      <c r="D195" t="s">
        <v>30</v>
      </c>
      <c r="E195" t="s">
        <v>135</v>
      </c>
      <c r="F195" t="s">
        <v>26</v>
      </c>
      <c r="G195" t="s">
        <v>69</v>
      </c>
      <c r="H195" t="s">
        <v>139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t="s">
        <v>56</v>
      </c>
    </row>
    <row r="196" spans="1:15" x14ac:dyDescent="0.35">
      <c r="A196" t="s">
        <v>478</v>
      </c>
      <c r="B196" s="1">
        <v>45042</v>
      </c>
      <c r="C196" t="s">
        <v>479</v>
      </c>
      <c r="D196" t="s">
        <v>30</v>
      </c>
      <c r="E196" t="s">
        <v>166</v>
      </c>
      <c r="F196" t="s">
        <v>60</v>
      </c>
      <c r="G196" t="s">
        <v>42</v>
      </c>
      <c r="H196" t="s">
        <v>43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t="s">
        <v>34</v>
      </c>
    </row>
    <row r="197" spans="1:15" x14ac:dyDescent="0.35">
      <c r="A197" t="s">
        <v>480</v>
      </c>
      <c r="B197" s="1">
        <v>45042</v>
      </c>
      <c r="C197" t="s">
        <v>481</v>
      </c>
      <c r="D197" t="s">
        <v>30</v>
      </c>
      <c r="E197" t="s">
        <v>31</v>
      </c>
      <c r="F197" t="s">
        <v>19</v>
      </c>
      <c r="G197" t="s">
        <v>42</v>
      </c>
      <c r="H197" t="s">
        <v>46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t="s">
        <v>34</v>
      </c>
    </row>
    <row r="198" spans="1:15" x14ac:dyDescent="0.35">
      <c r="A198" t="s">
        <v>482</v>
      </c>
      <c r="B198" s="1">
        <v>45045</v>
      </c>
      <c r="C198" t="s">
        <v>483</v>
      </c>
      <c r="D198" t="s">
        <v>30</v>
      </c>
      <c r="E198" t="s">
        <v>59</v>
      </c>
      <c r="F198" t="s">
        <v>60</v>
      </c>
      <c r="G198" t="s">
        <v>20</v>
      </c>
      <c r="H198" t="s">
        <v>175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t="s">
        <v>34</v>
      </c>
    </row>
    <row r="199" spans="1:15" x14ac:dyDescent="0.35">
      <c r="A199" t="s">
        <v>484</v>
      </c>
      <c r="B199" s="1">
        <v>45046</v>
      </c>
      <c r="C199" t="s">
        <v>485</v>
      </c>
      <c r="D199" t="s">
        <v>17</v>
      </c>
      <c r="E199" t="s">
        <v>92</v>
      </c>
      <c r="F199" t="s">
        <v>60</v>
      </c>
      <c r="G199" t="s">
        <v>32</v>
      </c>
      <c r="H199" t="s">
        <v>149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t="s">
        <v>34</v>
      </c>
    </row>
    <row r="200" spans="1:15" x14ac:dyDescent="0.35">
      <c r="A200" t="s">
        <v>486</v>
      </c>
      <c r="B200" s="1">
        <v>45047</v>
      </c>
      <c r="C200" t="s">
        <v>487</v>
      </c>
      <c r="D200" t="s">
        <v>30</v>
      </c>
      <c r="E200" t="s">
        <v>129</v>
      </c>
      <c r="F200" t="s">
        <v>19</v>
      </c>
      <c r="G200" t="s">
        <v>20</v>
      </c>
      <c r="H200" t="s">
        <v>175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t="s">
        <v>56</v>
      </c>
    </row>
    <row r="201" spans="1:15" x14ac:dyDescent="0.35">
      <c r="A201" t="s">
        <v>488</v>
      </c>
      <c r="B201" s="1">
        <v>45048</v>
      </c>
      <c r="C201" t="s">
        <v>489</v>
      </c>
      <c r="D201" t="s">
        <v>17</v>
      </c>
      <c r="E201" t="s">
        <v>59</v>
      </c>
      <c r="F201" t="s">
        <v>60</v>
      </c>
      <c r="G201" t="s">
        <v>32</v>
      </c>
      <c r="H201" t="s">
        <v>82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t="s">
        <v>34</v>
      </c>
    </row>
    <row r="202" spans="1:15" x14ac:dyDescent="0.35">
      <c r="A202" t="s">
        <v>490</v>
      </c>
      <c r="B202" s="1">
        <v>45049</v>
      </c>
      <c r="C202" t="s">
        <v>491</v>
      </c>
      <c r="D202" t="s">
        <v>30</v>
      </c>
      <c r="E202" t="s">
        <v>31</v>
      </c>
      <c r="F202" t="s">
        <v>19</v>
      </c>
      <c r="G202" t="s">
        <v>20</v>
      </c>
      <c r="H202" t="s">
        <v>55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t="s">
        <v>22</v>
      </c>
    </row>
    <row r="203" spans="1:15" x14ac:dyDescent="0.35">
      <c r="A203" t="s">
        <v>492</v>
      </c>
      <c r="B203" s="1">
        <v>45050</v>
      </c>
      <c r="C203" t="s">
        <v>95</v>
      </c>
      <c r="D203" t="s">
        <v>49</v>
      </c>
      <c r="E203" t="s">
        <v>148</v>
      </c>
      <c r="F203" t="s">
        <v>60</v>
      </c>
      <c r="G203" t="s">
        <v>32</v>
      </c>
      <c r="H203" t="s">
        <v>101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t="s">
        <v>34</v>
      </c>
    </row>
    <row r="204" spans="1:15" x14ac:dyDescent="0.35">
      <c r="A204" t="s">
        <v>493</v>
      </c>
      <c r="B204" s="1">
        <v>45051</v>
      </c>
      <c r="C204" t="s">
        <v>494</v>
      </c>
      <c r="D204" t="s">
        <v>49</v>
      </c>
      <c r="E204" t="s">
        <v>31</v>
      </c>
      <c r="F204" t="s">
        <v>19</v>
      </c>
      <c r="G204" t="s">
        <v>32</v>
      </c>
      <c r="H204" t="s">
        <v>110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t="s">
        <v>22</v>
      </c>
    </row>
    <row r="205" spans="1:15" x14ac:dyDescent="0.35">
      <c r="A205" t="s">
        <v>495</v>
      </c>
      <c r="B205" s="1">
        <v>45051</v>
      </c>
      <c r="C205" t="s">
        <v>496</v>
      </c>
      <c r="D205" t="s">
        <v>30</v>
      </c>
      <c r="E205" t="s">
        <v>59</v>
      </c>
      <c r="F205" t="s">
        <v>60</v>
      </c>
      <c r="G205" t="s">
        <v>69</v>
      </c>
      <c r="H205" t="s">
        <v>139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t="s">
        <v>39</v>
      </c>
    </row>
    <row r="206" spans="1:15" x14ac:dyDescent="0.35">
      <c r="A206" t="s">
        <v>497</v>
      </c>
      <c r="B206" s="1">
        <v>45052</v>
      </c>
      <c r="C206" t="s">
        <v>498</v>
      </c>
      <c r="D206" t="s">
        <v>30</v>
      </c>
      <c r="E206" t="s">
        <v>85</v>
      </c>
      <c r="F206" t="s">
        <v>60</v>
      </c>
      <c r="G206" t="s">
        <v>20</v>
      </c>
      <c r="H206" t="s">
        <v>21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t="s">
        <v>56</v>
      </c>
    </row>
    <row r="207" spans="1:15" x14ac:dyDescent="0.35">
      <c r="A207" t="s">
        <v>499</v>
      </c>
      <c r="B207" s="1">
        <v>45052</v>
      </c>
      <c r="C207" t="s">
        <v>500</v>
      </c>
      <c r="D207" t="s">
        <v>30</v>
      </c>
      <c r="E207" t="s">
        <v>31</v>
      </c>
      <c r="F207" t="s">
        <v>19</v>
      </c>
      <c r="G207" t="s">
        <v>32</v>
      </c>
      <c r="H207" t="s">
        <v>132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t="s">
        <v>22</v>
      </c>
    </row>
    <row r="208" spans="1:15" x14ac:dyDescent="0.35">
      <c r="A208" t="s">
        <v>501</v>
      </c>
      <c r="B208" s="1">
        <v>45052</v>
      </c>
      <c r="C208" t="s">
        <v>502</v>
      </c>
      <c r="D208" t="s">
        <v>30</v>
      </c>
      <c r="E208" t="s">
        <v>129</v>
      </c>
      <c r="F208" t="s">
        <v>19</v>
      </c>
      <c r="G208" t="s">
        <v>20</v>
      </c>
      <c r="H208" t="s">
        <v>55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t="s">
        <v>34</v>
      </c>
    </row>
    <row r="209" spans="1:15" x14ac:dyDescent="0.35">
      <c r="A209" t="s">
        <v>503</v>
      </c>
      <c r="B209" s="1">
        <v>45054</v>
      </c>
      <c r="C209" t="s">
        <v>504</v>
      </c>
      <c r="D209" t="s">
        <v>17</v>
      </c>
      <c r="E209" t="s">
        <v>92</v>
      </c>
      <c r="F209" t="s">
        <v>60</v>
      </c>
      <c r="G209" t="s">
        <v>32</v>
      </c>
      <c r="H209" t="s">
        <v>82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t="s">
        <v>34</v>
      </c>
    </row>
    <row r="210" spans="1:15" x14ac:dyDescent="0.35">
      <c r="A210" t="s">
        <v>505</v>
      </c>
      <c r="B210" s="1">
        <v>45056</v>
      </c>
      <c r="C210" t="s">
        <v>506</v>
      </c>
      <c r="D210" t="s">
        <v>17</v>
      </c>
      <c r="E210" t="s">
        <v>248</v>
      </c>
      <c r="F210" t="s">
        <v>26</v>
      </c>
      <c r="G210" t="s">
        <v>32</v>
      </c>
      <c r="H210" t="s">
        <v>82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t="s">
        <v>34</v>
      </c>
    </row>
    <row r="211" spans="1:15" x14ac:dyDescent="0.35">
      <c r="A211" t="s">
        <v>507</v>
      </c>
      <c r="B211" s="1">
        <v>45057</v>
      </c>
      <c r="C211" t="s">
        <v>508</v>
      </c>
      <c r="D211" t="s">
        <v>17</v>
      </c>
      <c r="E211" t="s">
        <v>135</v>
      </c>
      <c r="F211" t="s">
        <v>26</v>
      </c>
      <c r="G211" t="s">
        <v>69</v>
      </c>
      <c r="H211" t="s">
        <v>163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t="s">
        <v>34</v>
      </c>
    </row>
    <row r="212" spans="1:15" x14ac:dyDescent="0.35">
      <c r="A212" t="s">
        <v>509</v>
      </c>
      <c r="B212" s="1">
        <v>45057</v>
      </c>
      <c r="C212" t="s">
        <v>510</v>
      </c>
      <c r="D212" t="s">
        <v>30</v>
      </c>
      <c r="E212" t="s">
        <v>129</v>
      </c>
      <c r="F212" t="s">
        <v>19</v>
      </c>
      <c r="G212" t="s">
        <v>20</v>
      </c>
      <c r="H212" t="s">
        <v>170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t="s">
        <v>56</v>
      </c>
    </row>
    <row r="213" spans="1:15" x14ac:dyDescent="0.35">
      <c r="A213" t="s">
        <v>511</v>
      </c>
      <c r="B213" s="1">
        <v>45058</v>
      </c>
      <c r="C213" t="s">
        <v>512</v>
      </c>
      <c r="D213" t="s">
        <v>30</v>
      </c>
      <c r="E213" t="s">
        <v>121</v>
      </c>
      <c r="F213" t="s">
        <v>68</v>
      </c>
      <c r="G213" t="s">
        <v>69</v>
      </c>
      <c r="H213" t="s">
        <v>79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t="s">
        <v>39</v>
      </c>
    </row>
    <row r="214" spans="1:15" x14ac:dyDescent="0.35">
      <c r="A214" t="s">
        <v>513</v>
      </c>
      <c r="B214" s="1">
        <v>45058</v>
      </c>
      <c r="C214" t="s">
        <v>514</v>
      </c>
      <c r="D214" t="s">
        <v>17</v>
      </c>
      <c r="E214" t="s">
        <v>248</v>
      </c>
      <c r="F214" t="s">
        <v>26</v>
      </c>
      <c r="G214" t="s">
        <v>42</v>
      </c>
      <c r="H214" t="s">
        <v>371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t="s">
        <v>34</v>
      </c>
    </row>
    <row r="215" spans="1:15" x14ac:dyDescent="0.35">
      <c r="A215" t="s">
        <v>515</v>
      </c>
      <c r="B215" s="1">
        <v>45059</v>
      </c>
      <c r="C215" t="s">
        <v>516</v>
      </c>
      <c r="D215" t="s">
        <v>17</v>
      </c>
      <c r="E215" t="s">
        <v>148</v>
      </c>
      <c r="F215" t="s">
        <v>60</v>
      </c>
      <c r="G215" t="s">
        <v>20</v>
      </c>
      <c r="H215" t="s">
        <v>106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t="s">
        <v>39</v>
      </c>
    </row>
    <row r="216" spans="1:15" x14ac:dyDescent="0.35">
      <c r="A216" t="s">
        <v>517</v>
      </c>
      <c r="B216" s="1">
        <v>45059</v>
      </c>
      <c r="C216" t="s">
        <v>518</v>
      </c>
      <c r="D216" t="s">
        <v>30</v>
      </c>
      <c r="E216" t="s">
        <v>148</v>
      </c>
      <c r="F216" t="s">
        <v>60</v>
      </c>
      <c r="G216" t="s">
        <v>42</v>
      </c>
      <c r="H216" t="s">
        <v>64</v>
      </c>
      <c r="I216">
        <v>15</v>
      </c>
      <c r="J216">
        <v>100.94</v>
      </c>
      <c r="K216">
        <v>5</v>
      </c>
      <c r="L216">
        <v>1438.39</v>
      </c>
      <c r="M216">
        <v>29.26</v>
      </c>
      <c r="N216">
        <v>500.67</v>
      </c>
      <c r="O216" t="s">
        <v>34</v>
      </c>
    </row>
    <row r="217" spans="1:15" x14ac:dyDescent="0.35">
      <c r="A217" t="s">
        <v>519</v>
      </c>
      <c r="B217" s="1">
        <v>45060</v>
      </c>
      <c r="C217" t="s">
        <v>520</v>
      </c>
      <c r="D217" t="s">
        <v>49</v>
      </c>
      <c r="E217" t="s">
        <v>121</v>
      </c>
      <c r="F217" t="s">
        <v>68</v>
      </c>
      <c r="G217" t="s">
        <v>20</v>
      </c>
      <c r="H217" t="s">
        <v>170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t="s">
        <v>39</v>
      </c>
    </row>
    <row r="218" spans="1:15" x14ac:dyDescent="0.35">
      <c r="A218" t="s">
        <v>521</v>
      </c>
      <c r="B218" s="1">
        <v>45061</v>
      </c>
      <c r="C218" t="s">
        <v>522</v>
      </c>
      <c r="D218" t="s">
        <v>17</v>
      </c>
      <c r="E218" t="s">
        <v>166</v>
      </c>
      <c r="F218" t="s">
        <v>60</v>
      </c>
      <c r="G218" t="s">
        <v>42</v>
      </c>
      <c r="H218" t="s">
        <v>118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t="s">
        <v>22</v>
      </c>
    </row>
    <row r="219" spans="1:15" x14ac:dyDescent="0.35">
      <c r="A219" t="s">
        <v>523</v>
      </c>
      <c r="B219" s="1">
        <v>45061</v>
      </c>
      <c r="C219" t="s">
        <v>524</v>
      </c>
      <c r="D219" t="s">
        <v>30</v>
      </c>
      <c r="E219" t="s">
        <v>31</v>
      </c>
      <c r="F219" t="s">
        <v>19</v>
      </c>
      <c r="G219" t="s">
        <v>42</v>
      </c>
      <c r="H219" t="s">
        <v>46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t="s">
        <v>34</v>
      </c>
    </row>
    <row r="220" spans="1:15" x14ac:dyDescent="0.35">
      <c r="A220" t="s">
        <v>525</v>
      </c>
      <c r="B220" s="1">
        <v>45061</v>
      </c>
      <c r="C220" t="s">
        <v>526</v>
      </c>
      <c r="D220" t="s">
        <v>17</v>
      </c>
      <c r="E220" t="s">
        <v>31</v>
      </c>
      <c r="F220" t="s">
        <v>19</v>
      </c>
      <c r="G220" t="s">
        <v>42</v>
      </c>
      <c r="H220" t="s">
        <v>294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t="s">
        <v>39</v>
      </c>
    </row>
    <row r="221" spans="1:15" x14ac:dyDescent="0.35">
      <c r="A221" t="s">
        <v>527</v>
      </c>
      <c r="B221" s="1">
        <v>45062</v>
      </c>
      <c r="C221" t="s">
        <v>528</v>
      </c>
      <c r="D221" t="s">
        <v>17</v>
      </c>
      <c r="E221" t="s">
        <v>248</v>
      </c>
      <c r="F221" t="s">
        <v>26</v>
      </c>
      <c r="G221" t="s">
        <v>69</v>
      </c>
      <c r="H221" t="s">
        <v>139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t="s">
        <v>34</v>
      </c>
    </row>
    <row r="222" spans="1:15" x14ac:dyDescent="0.35">
      <c r="A222" t="s">
        <v>529</v>
      </c>
      <c r="B222" s="1">
        <v>45062</v>
      </c>
      <c r="C222" t="s">
        <v>530</v>
      </c>
      <c r="D222" t="s">
        <v>30</v>
      </c>
      <c r="E222" t="s">
        <v>31</v>
      </c>
      <c r="F222" t="s">
        <v>19</v>
      </c>
      <c r="G222" t="s">
        <v>42</v>
      </c>
      <c r="H222" t="s">
        <v>43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t="s">
        <v>39</v>
      </c>
    </row>
    <row r="223" spans="1:15" x14ac:dyDescent="0.35">
      <c r="A223" t="s">
        <v>531</v>
      </c>
      <c r="B223" s="1">
        <v>45062</v>
      </c>
      <c r="C223" t="s">
        <v>532</v>
      </c>
      <c r="D223" t="s">
        <v>49</v>
      </c>
      <c r="E223" t="s">
        <v>169</v>
      </c>
      <c r="F223" t="s">
        <v>68</v>
      </c>
      <c r="G223" t="s">
        <v>42</v>
      </c>
      <c r="H223" t="s">
        <v>46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t="s">
        <v>34</v>
      </c>
    </row>
    <row r="224" spans="1:15" x14ac:dyDescent="0.35">
      <c r="A224" t="s">
        <v>533</v>
      </c>
      <c r="B224" s="1">
        <v>45063</v>
      </c>
      <c r="C224" t="s">
        <v>534</v>
      </c>
      <c r="D224" t="s">
        <v>49</v>
      </c>
      <c r="E224" t="s">
        <v>148</v>
      </c>
      <c r="F224" t="s">
        <v>60</v>
      </c>
      <c r="G224" t="s">
        <v>32</v>
      </c>
      <c r="H224" t="s">
        <v>73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t="s">
        <v>22</v>
      </c>
    </row>
    <row r="225" spans="1:15" x14ac:dyDescent="0.35">
      <c r="A225" t="s">
        <v>535</v>
      </c>
      <c r="B225" s="1">
        <v>45064</v>
      </c>
      <c r="C225" t="s">
        <v>536</v>
      </c>
      <c r="D225" t="s">
        <v>17</v>
      </c>
      <c r="E225" t="s">
        <v>129</v>
      </c>
      <c r="F225" t="s">
        <v>19</v>
      </c>
      <c r="G225" t="s">
        <v>32</v>
      </c>
      <c r="H225" t="s">
        <v>132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t="s">
        <v>39</v>
      </c>
    </row>
    <row r="226" spans="1:15" x14ac:dyDescent="0.35">
      <c r="A226" t="s">
        <v>537</v>
      </c>
      <c r="B226" s="1">
        <v>45064</v>
      </c>
      <c r="C226" t="s">
        <v>538</v>
      </c>
      <c r="D226" t="s">
        <v>17</v>
      </c>
      <c r="E226" t="s">
        <v>138</v>
      </c>
      <c r="F226" t="s">
        <v>54</v>
      </c>
      <c r="G226" t="s">
        <v>42</v>
      </c>
      <c r="H226" t="s">
        <v>371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t="s">
        <v>34</v>
      </c>
    </row>
    <row r="227" spans="1:15" x14ac:dyDescent="0.35">
      <c r="A227" t="s">
        <v>539</v>
      </c>
      <c r="B227" s="1">
        <v>45064</v>
      </c>
      <c r="C227" t="s">
        <v>540</v>
      </c>
      <c r="D227" t="s">
        <v>30</v>
      </c>
      <c r="E227" t="s">
        <v>92</v>
      </c>
      <c r="F227" t="s">
        <v>60</v>
      </c>
      <c r="G227" t="s">
        <v>69</v>
      </c>
      <c r="H227" t="s">
        <v>160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t="s">
        <v>39</v>
      </c>
    </row>
    <row r="228" spans="1:15" x14ac:dyDescent="0.35">
      <c r="A228" t="s">
        <v>541</v>
      </c>
      <c r="B228" s="1">
        <v>45064</v>
      </c>
      <c r="C228" t="s">
        <v>542</v>
      </c>
      <c r="D228" t="s">
        <v>30</v>
      </c>
      <c r="E228" t="s">
        <v>148</v>
      </c>
      <c r="F228" t="s">
        <v>60</v>
      </c>
      <c r="G228" t="s">
        <v>42</v>
      </c>
      <c r="H228" t="s">
        <v>43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t="s">
        <v>22</v>
      </c>
    </row>
    <row r="229" spans="1:15" x14ac:dyDescent="0.35">
      <c r="A229" t="s">
        <v>543</v>
      </c>
      <c r="B229" s="1">
        <v>45064</v>
      </c>
      <c r="C229" t="s">
        <v>498</v>
      </c>
      <c r="D229" t="s">
        <v>17</v>
      </c>
      <c r="E229" t="s">
        <v>63</v>
      </c>
      <c r="F229" t="s">
        <v>54</v>
      </c>
      <c r="G229" t="s">
        <v>42</v>
      </c>
      <c r="H229" t="s">
        <v>294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t="s">
        <v>34</v>
      </c>
    </row>
    <row r="230" spans="1:15" x14ac:dyDescent="0.35">
      <c r="A230" t="s">
        <v>544</v>
      </c>
      <c r="B230" s="1">
        <v>45064</v>
      </c>
      <c r="C230" t="s">
        <v>545</v>
      </c>
      <c r="D230" t="s">
        <v>30</v>
      </c>
      <c r="E230" t="s">
        <v>18</v>
      </c>
      <c r="F230" t="s">
        <v>19</v>
      </c>
      <c r="G230" t="s">
        <v>42</v>
      </c>
      <c r="H230" t="s">
        <v>294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t="s">
        <v>39</v>
      </c>
    </row>
    <row r="231" spans="1:15" x14ac:dyDescent="0.35">
      <c r="A231" t="s">
        <v>546</v>
      </c>
      <c r="B231" s="1">
        <v>45065</v>
      </c>
      <c r="C231" t="s">
        <v>547</v>
      </c>
      <c r="D231" t="s">
        <v>49</v>
      </c>
      <c r="E231" t="s">
        <v>248</v>
      </c>
      <c r="F231" t="s">
        <v>26</v>
      </c>
      <c r="G231" t="s">
        <v>42</v>
      </c>
      <c r="H231" t="s">
        <v>371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t="s">
        <v>39</v>
      </c>
    </row>
    <row r="232" spans="1:15" x14ac:dyDescent="0.35">
      <c r="A232" t="s">
        <v>548</v>
      </c>
      <c r="B232" s="1">
        <v>45066</v>
      </c>
      <c r="C232" t="s">
        <v>549</v>
      </c>
      <c r="D232" t="s">
        <v>30</v>
      </c>
      <c r="E232" t="s">
        <v>18</v>
      </c>
      <c r="F232" t="s">
        <v>19</v>
      </c>
      <c r="G232" t="s">
        <v>69</v>
      </c>
      <c r="H232" t="s">
        <v>70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t="s">
        <v>39</v>
      </c>
    </row>
    <row r="233" spans="1:15" x14ac:dyDescent="0.35">
      <c r="A233" t="s">
        <v>550</v>
      </c>
      <c r="B233" s="1">
        <v>45068</v>
      </c>
      <c r="C233" t="s">
        <v>259</v>
      </c>
      <c r="D233" t="s">
        <v>49</v>
      </c>
      <c r="E233" t="s">
        <v>166</v>
      </c>
      <c r="F233" t="s">
        <v>60</v>
      </c>
      <c r="G233" t="s">
        <v>20</v>
      </c>
      <c r="H233" t="s">
        <v>175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t="s">
        <v>39</v>
      </c>
    </row>
    <row r="234" spans="1:15" x14ac:dyDescent="0.35">
      <c r="A234" t="s">
        <v>551</v>
      </c>
      <c r="B234" s="1">
        <v>45069</v>
      </c>
      <c r="C234" t="s">
        <v>225</v>
      </c>
      <c r="D234" t="s">
        <v>30</v>
      </c>
      <c r="E234" t="s">
        <v>31</v>
      </c>
      <c r="F234" t="s">
        <v>19</v>
      </c>
      <c r="G234" t="s">
        <v>20</v>
      </c>
      <c r="H234" t="s">
        <v>38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t="s">
        <v>34</v>
      </c>
    </row>
    <row r="235" spans="1:15" x14ac:dyDescent="0.35">
      <c r="A235" t="s">
        <v>552</v>
      </c>
      <c r="B235" s="1">
        <v>45069</v>
      </c>
      <c r="C235" t="s">
        <v>553</v>
      </c>
      <c r="D235" t="s">
        <v>49</v>
      </c>
      <c r="E235" t="s">
        <v>59</v>
      </c>
      <c r="F235" t="s">
        <v>60</v>
      </c>
      <c r="G235" t="s">
        <v>20</v>
      </c>
      <c r="H235" t="s">
        <v>106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t="s">
        <v>39</v>
      </c>
    </row>
    <row r="236" spans="1:15" x14ac:dyDescent="0.35">
      <c r="A236" t="s">
        <v>554</v>
      </c>
      <c r="B236" s="1">
        <v>45071</v>
      </c>
      <c r="C236" t="s">
        <v>555</v>
      </c>
      <c r="D236" t="s">
        <v>30</v>
      </c>
      <c r="E236" t="s">
        <v>31</v>
      </c>
      <c r="F236" t="s">
        <v>19</v>
      </c>
      <c r="G236" t="s">
        <v>32</v>
      </c>
      <c r="H236" t="s">
        <v>82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t="s">
        <v>56</v>
      </c>
    </row>
    <row r="237" spans="1:15" x14ac:dyDescent="0.35">
      <c r="A237" t="s">
        <v>556</v>
      </c>
      <c r="B237" s="1">
        <v>45072</v>
      </c>
      <c r="C237" t="s">
        <v>557</v>
      </c>
      <c r="D237" t="s">
        <v>17</v>
      </c>
      <c r="E237" t="s">
        <v>31</v>
      </c>
      <c r="F237" t="s">
        <v>19</v>
      </c>
      <c r="G237" t="s">
        <v>32</v>
      </c>
      <c r="H237" t="s">
        <v>82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t="s">
        <v>34</v>
      </c>
    </row>
    <row r="238" spans="1:15" x14ac:dyDescent="0.35">
      <c r="A238" t="s">
        <v>558</v>
      </c>
      <c r="B238" s="1">
        <v>45075</v>
      </c>
      <c r="C238" t="s">
        <v>559</v>
      </c>
      <c r="D238" t="s">
        <v>30</v>
      </c>
      <c r="E238" t="s">
        <v>76</v>
      </c>
      <c r="F238" t="s">
        <v>26</v>
      </c>
      <c r="G238" t="s">
        <v>69</v>
      </c>
      <c r="H238" t="s">
        <v>79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t="s">
        <v>34</v>
      </c>
    </row>
    <row r="239" spans="1:15" x14ac:dyDescent="0.35">
      <c r="A239" t="s">
        <v>560</v>
      </c>
      <c r="B239" s="1">
        <v>45076</v>
      </c>
      <c r="C239" t="s">
        <v>561</v>
      </c>
      <c r="D239" t="s">
        <v>49</v>
      </c>
      <c r="E239" t="s">
        <v>59</v>
      </c>
      <c r="F239" t="s">
        <v>60</v>
      </c>
      <c r="G239" t="s">
        <v>32</v>
      </c>
      <c r="H239" t="s">
        <v>33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t="s">
        <v>34</v>
      </c>
    </row>
    <row r="240" spans="1:15" x14ac:dyDescent="0.35">
      <c r="A240" t="s">
        <v>562</v>
      </c>
      <c r="B240" s="1">
        <v>45078</v>
      </c>
      <c r="C240" t="s">
        <v>563</v>
      </c>
      <c r="D240" t="s">
        <v>17</v>
      </c>
      <c r="E240" t="s">
        <v>129</v>
      </c>
      <c r="F240" t="s">
        <v>19</v>
      </c>
      <c r="G240" t="s">
        <v>42</v>
      </c>
      <c r="H240" t="s">
        <v>118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t="s">
        <v>34</v>
      </c>
    </row>
    <row r="241" spans="1:15" x14ac:dyDescent="0.35">
      <c r="A241" t="s">
        <v>564</v>
      </c>
      <c r="B241" s="1">
        <v>45078</v>
      </c>
      <c r="C241" t="s">
        <v>565</v>
      </c>
      <c r="D241" t="s">
        <v>49</v>
      </c>
      <c r="E241" t="s">
        <v>76</v>
      </c>
      <c r="F241" t="s">
        <v>26</v>
      </c>
      <c r="G241" t="s">
        <v>42</v>
      </c>
      <c r="H241" t="s">
        <v>64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t="s">
        <v>34</v>
      </c>
    </row>
    <row r="242" spans="1:15" x14ac:dyDescent="0.35">
      <c r="A242" t="s">
        <v>566</v>
      </c>
      <c r="B242" s="1">
        <v>45078</v>
      </c>
      <c r="C242" t="s">
        <v>567</v>
      </c>
      <c r="D242" t="s">
        <v>30</v>
      </c>
      <c r="E242" t="s">
        <v>25</v>
      </c>
      <c r="F242" t="s">
        <v>26</v>
      </c>
      <c r="G242" t="s">
        <v>32</v>
      </c>
      <c r="H242" t="s">
        <v>101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t="s">
        <v>39</v>
      </c>
    </row>
    <row r="243" spans="1:15" x14ac:dyDescent="0.35">
      <c r="A243" t="s">
        <v>568</v>
      </c>
      <c r="B243" s="1">
        <v>45078</v>
      </c>
      <c r="C243" t="s">
        <v>569</v>
      </c>
      <c r="D243" t="s">
        <v>30</v>
      </c>
      <c r="E243" t="s">
        <v>31</v>
      </c>
      <c r="F243" t="s">
        <v>19</v>
      </c>
      <c r="G243" t="s">
        <v>42</v>
      </c>
      <c r="H243" t="s">
        <v>294</v>
      </c>
      <c r="I243">
        <v>7</v>
      </c>
      <c r="J243">
        <v>263.11</v>
      </c>
      <c r="K243">
        <v>10</v>
      </c>
      <c r="L243">
        <v>1657.59</v>
      </c>
      <c r="M243">
        <v>16.54</v>
      </c>
      <c r="N243">
        <v>535.99</v>
      </c>
      <c r="O243" t="s">
        <v>39</v>
      </c>
    </row>
    <row r="244" spans="1:15" x14ac:dyDescent="0.35">
      <c r="A244" t="s">
        <v>570</v>
      </c>
      <c r="B244" s="1">
        <v>45078</v>
      </c>
      <c r="C244" t="s">
        <v>571</v>
      </c>
      <c r="D244" t="s">
        <v>30</v>
      </c>
      <c r="E244" t="s">
        <v>92</v>
      </c>
      <c r="F244" t="s">
        <v>60</v>
      </c>
      <c r="G244" t="s">
        <v>42</v>
      </c>
      <c r="H244" t="s">
        <v>294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t="s">
        <v>22</v>
      </c>
    </row>
    <row r="245" spans="1:15" x14ac:dyDescent="0.35">
      <c r="A245" t="s">
        <v>572</v>
      </c>
      <c r="B245" s="1">
        <v>45080</v>
      </c>
      <c r="C245" t="s">
        <v>573</v>
      </c>
      <c r="D245" t="s">
        <v>17</v>
      </c>
      <c r="E245" t="s">
        <v>135</v>
      </c>
      <c r="F245" t="s">
        <v>26</v>
      </c>
      <c r="G245" t="s">
        <v>42</v>
      </c>
      <c r="H245" t="s">
        <v>234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t="s">
        <v>22</v>
      </c>
    </row>
    <row r="246" spans="1:15" x14ac:dyDescent="0.35">
      <c r="A246" t="s">
        <v>574</v>
      </c>
      <c r="B246" s="1">
        <v>45081</v>
      </c>
      <c r="C246" t="s">
        <v>575</v>
      </c>
      <c r="D246" t="s">
        <v>17</v>
      </c>
      <c r="E246" t="s">
        <v>85</v>
      </c>
      <c r="F246" t="s">
        <v>60</v>
      </c>
      <c r="G246" t="s">
        <v>69</v>
      </c>
      <c r="H246" t="s">
        <v>243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t="s">
        <v>34</v>
      </c>
    </row>
    <row r="247" spans="1:15" x14ac:dyDescent="0.35">
      <c r="A247" t="s">
        <v>576</v>
      </c>
      <c r="B247" s="1">
        <v>45081</v>
      </c>
      <c r="C247" t="s">
        <v>577</v>
      </c>
      <c r="D247" t="s">
        <v>30</v>
      </c>
      <c r="E247" t="s">
        <v>25</v>
      </c>
      <c r="F247" t="s">
        <v>26</v>
      </c>
      <c r="G247" t="s">
        <v>32</v>
      </c>
      <c r="H247" t="s">
        <v>110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t="s">
        <v>34</v>
      </c>
    </row>
    <row r="248" spans="1:15" x14ac:dyDescent="0.35">
      <c r="A248" t="s">
        <v>578</v>
      </c>
      <c r="B248" s="1">
        <v>45081</v>
      </c>
      <c r="C248" t="s">
        <v>579</v>
      </c>
      <c r="D248" t="s">
        <v>30</v>
      </c>
      <c r="E248" t="s">
        <v>37</v>
      </c>
      <c r="F248" t="s">
        <v>26</v>
      </c>
      <c r="G248" t="s">
        <v>32</v>
      </c>
      <c r="H248" t="s">
        <v>348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t="s">
        <v>34</v>
      </c>
    </row>
    <row r="249" spans="1:15" x14ac:dyDescent="0.35">
      <c r="A249" t="s">
        <v>580</v>
      </c>
      <c r="B249" s="1">
        <v>45082</v>
      </c>
      <c r="C249" t="s">
        <v>581</v>
      </c>
      <c r="D249" t="s">
        <v>17</v>
      </c>
      <c r="E249" t="s">
        <v>31</v>
      </c>
      <c r="F249" t="s">
        <v>19</v>
      </c>
      <c r="G249" t="s">
        <v>20</v>
      </c>
      <c r="H249" t="s">
        <v>55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t="s">
        <v>34</v>
      </c>
    </row>
    <row r="250" spans="1:15" x14ac:dyDescent="0.35">
      <c r="A250" t="s">
        <v>582</v>
      </c>
      <c r="B250" s="1">
        <v>45083</v>
      </c>
      <c r="C250" t="s">
        <v>583</v>
      </c>
      <c r="D250" t="s">
        <v>30</v>
      </c>
      <c r="E250" t="s">
        <v>85</v>
      </c>
      <c r="F250" t="s">
        <v>60</v>
      </c>
      <c r="G250" t="s">
        <v>20</v>
      </c>
      <c r="H250" t="s">
        <v>264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t="s">
        <v>34</v>
      </c>
    </row>
    <row r="251" spans="1:15" x14ac:dyDescent="0.35">
      <c r="A251" t="s">
        <v>584</v>
      </c>
      <c r="B251" s="1">
        <v>45083</v>
      </c>
      <c r="C251" t="s">
        <v>585</v>
      </c>
      <c r="D251" t="s">
        <v>30</v>
      </c>
      <c r="E251" t="s">
        <v>92</v>
      </c>
      <c r="F251" t="s">
        <v>60</v>
      </c>
      <c r="G251" t="s">
        <v>32</v>
      </c>
      <c r="H251" t="s">
        <v>149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t="s">
        <v>22</v>
      </c>
    </row>
    <row r="252" spans="1:15" x14ac:dyDescent="0.35">
      <c r="A252" t="s">
        <v>586</v>
      </c>
      <c r="B252" s="1">
        <v>45083</v>
      </c>
      <c r="C252" t="s">
        <v>587</v>
      </c>
      <c r="D252" t="s">
        <v>30</v>
      </c>
      <c r="E252" t="s">
        <v>92</v>
      </c>
      <c r="F252" t="s">
        <v>60</v>
      </c>
      <c r="G252" t="s">
        <v>20</v>
      </c>
      <c r="H252" t="s">
        <v>55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t="s">
        <v>22</v>
      </c>
    </row>
    <row r="253" spans="1:15" x14ac:dyDescent="0.35">
      <c r="A253" t="s">
        <v>588</v>
      </c>
      <c r="B253" s="1">
        <v>45083</v>
      </c>
      <c r="C253" t="s">
        <v>589</v>
      </c>
      <c r="D253" t="s">
        <v>17</v>
      </c>
      <c r="E253" t="s">
        <v>63</v>
      </c>
      <c r="F253" t="s">
        <v>54</v>
      </c>
      <c r="G253" t="s">
        <v>69</v>
      </c>
      <c r="H253" t="s">
        <v>70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t="s">
        <v>39</v>
      </c>
    </row>
    <row r="254" spans="1:15" x14ac:dyDescent="0.35">
      <c r="A254" t="s">
        <v>590</v>
      </c>
      <c r="B254" s="1">
        <v>45083</v>
      </c>
      <c r="C254" t="s">
        <v>591</v>
      </c>
      <c r="D254" t="s">
        <v>17</v>
      </c>
      <c r="E254" t="s">
        <v>248</v>
      </c>
      <c r="F254" t="s">
        <v>26</v>
      </c>
      <c r="G254" t="s">
        <v>32</v>
      </c>
      <c r="H254" t="s">
        <v>132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t="s">
        <v>39</v>
      </c>
    </row>
    <row r="255" spans="1:15" x14ac:dyDescent="0.35">
      <c r="A255" t="s">
        <v>592</v>
      </c>
      <c r="B255" s="1">
        <v>45084</v>
      </c>
      <c r="C255" t="s">
        <v>593</v>
      </c>
      <c r="D255" t="s">
        <v>30</v>
      </c>
      <c r="E255" t="s">
        <v>53</v>
      </c>
      <c r="F255" t="s">
        <v>54</v>
      </c>
      <c r="G255" t="s">
        <v>20</v>
      </c>
      <c r="H255" t="s">
        <v>175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t="s">
        <v>34</v>
      </c>
    </row>
    <row r="256" spans="1:15" x14ac:dyDescent="0.35">
      <c r="A256" t="s">
        <v>594</v>
      </c>
      <c r="B256" s="1">
        <v>45084</v>
      </c>
      <c r="C256" t="s">
        <v>555</v>
      </c>
      <c r="D256" t="s">
        <v>17</v>
      </c>
      <c r="E256" t="s">
        <v>76</v>
      </c>
      <c r="F256" t="s">
        <v>26</v>
      </c>
      <c r="G256" t="s">
        <v>20</v>
      </c>
      <c r="H256" t="s">
        <v>199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t="s">
        <v>22</v>
      </c>
    </row>
    <row r="257" spans="1:15" x14ac:dyDescent="0.35">
      <c r="A257" t="s">
        <v>595</v>
      </c>
      <c r="B257" s="1">
        <v>45084</v>
      </c>
      <c r="C257" t="s">
        <v>596</v>
      </c>
      <c r="D257" t="s">
        <v>30</v>
      </c>
      <c r="E257" t="s">
        <v>18</v>
      </c>
      <c r="F257" t="s">
        <v>19</v>
      </c>
      <c r="G257" t="s">
        <v>20</v>
      </c>
      <c r="H257" t="s">
        <v>264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t="s">
        <v>34</v>
      </c>
    </row>
    <row r="258" spans="1:15" x14ac:dyDescent="0.35">
      <c r="A258" t="s">
        <v>597</v>
      </c>
      <c r="B258" s="1">
        <v>45085</v>
      </c>
      <c r="C258" t="s">
        <v>307</v>
      </c>
      <c r="D258" t="s">
        <v>17</v>
      </c>
      <c r="E258" t="s">
        <v>59</v>
      </c>
      <c r="F258" t="s">
        <v>60</v>
      </c>
      <c r="G258" t="s">
        <v>32</v>
      </c>
      <c r="H258" t="s">
        <v>348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t="s">
        <v>22</v>
      </c>
    </row>
    <row r="259" spans="1:15" x14ac:dyDescent="0.35">
      <c r="A259" t="s">
        <v>598</v>
      </c>
      <c r="B259" s="1">
        <v>45085</v>
      </c>
      <c r="C259" t="s">
        <v>599</v>
      </c>
      <c r="D259" t="s">
        <v>30</v>
      </c>
      <c r="E259" t="s">
        <v>148</v>
      </c>
      <c r="F259" t="s">
        <v>60</v>
      </c>
      <c r="G259" t="s">
        <v>69</v>
      </c>
      <c r="H259" t="s">
        <v>70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t="s">
        <v>34</v>
      </c>
    </row>
    <row r="260" spans="1:15" x14ac:dyDescent="0.35">
      <c r="A260" t="s">
        <v>600</v>
      </c>
      <c r="B260" s="1">
        <v>45085</v>
      </c>
      <c r="C260" t="s">
        <v>601</v>
      </c>
      <c r="D260" t="s">
        <v>30</v>
      </c>
      <c r="E260" t="s">
        <v>18</v>
      </c>
      <c r="F260" t="s">
        <v>19</v>
      </c>
      <c r="G260" t="s">
        <v>32</v>
      </c>
      <c r="H260" t="s">
        <v>33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t="s">
        <v>34</v>
      </c>
    </row>
    <row r="261" spans="1:15" x14ac:dyDescent="0.35">
      <c r="A261" t="s">
        <v>602</v>
      </c>
      <c r="B261" s="1">
        <v>45086</v>
      </c>
      <c r="C261" t="s">
        <v>603</v>
      </c>
      <c r="D261" t="s">
        <v>30</v>
      </c>
      <c r="E261" t="s">
        <v>18</v>
      </c>
      <c r="F261" t="s">
        <v>19</v>
      </c>
      <c r="G261" t="s">
        <v>42</v>
      </c>
      <c r="H261" t="s">
        <v>255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t="s">
        <v>39</v>
      </c>
    </row>
    <row r="262" spans="1:15" x14ac:dyDescent="0.35">
      <c r="A262" t="s">
        <v>604</v>
      </c>
      <c r="B262" s="1">
        <v>45086</v>
      </c>
      <c r="C262" t="s">
        <v>605</v>
      </c>
      <c r="D262" t="s">
        <v>17</v>
      </c>
      <c r="E262" t="s">
        <v>63</v>
      </c>
      <c r="F262" t="s">
        <v>54</v>
      </c>
      <c r="G262" t="s">
        <v>20</v>
      </c>
      <c r="H262" t="s">
        <v>264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t="s">
        <v>34</v>
      </c>
    </row>
    <row r="263" spans="1:15" x14ac:dyDescent="0.35">
      <c r="A263" t="s">
        <v>606</v>
      </c>
      <c r="B263" s="1">
        <v>45086</v>
      </c>
      <c r="C263" t="s">
        <v>607</v>
      </c>
      <c r="D263" t="s">
        <v>49</v>
      </c>
      <c r="E263" t="s">
        <v>63</v>
      </c>
      <c r="F263" t="s">
        <v>54</v>
      </c>
      <c r="G263" t="s">
        <v>32</v>
      </c>
      <c r="H263" t="s">
        <v>50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t="s">
        <v>22</v>
      </c>
    </row>
    <row r="264" spans="1:15" x14ac:dyDescent="0.35">
      <c r="A264" t="s">
        <v>608</v>
      </c>
      <c r="B264" s="1">
        <v>45087</v>
      </c>
      <c r="C264" t="s">
        <v>609</v>
      </c>
      <c r="D264" t="s">
        <v>30</v>
      </c>
      <c r="E264" t="s">
        <v>129</v>
      </c>
      <c r="F264" t="s">
        <v>19</v>
      </c>
      <c r="G264" t="s">
        <v>42</v>
      </c>
      <c r="H264" t="s">
        <v>93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t="s">
        <v>34</v>
      </c>
    </row>
    <row r="265" spans="1:15" x14ac:dyDescent="0.35">
      <c r="A265" t="s">
        <v>610</v>
      </c>
      <c r="B265" s="1">
        <v>45088</v>
      </c>
      <c r="C265" t="s">
        <v>611</v>
      </c>
      <c r="D265" t="s">
        <v>49</v>
      </c>
      <c r="E265" t="s">
        <v>129</v>
      </c>
      <c r="F265" t="s">
        <v>19</v>
      </c>
      <c r="G265" t="s">
        <v>42</v>
      </c>
      <c r="H265" t="s">
        <v>89</v>
      </c>
      <c r="I265">
        <v>5</v>
      </c>
      <c r="J265">
        <v>336.47</v>
      </c>
      <c r="K265">
        <v>0</v>
      </c>
      <c r="L265">
        <v>1682.35</v>
      </c>
      <c r="M265">
        <v>15.78</v>
      </c>
      <c r="N265">
        <v>657.16</v>
      </c>
      <c r="O265" t="s">
        <v>34</v>
      </c>
    </row>
    <row r="266" spans="1:15" x14ac:dyDescent="0.35">
      <c r="A266" t="s">
        <v>612</v>
      </c>
      <c r="B266" s="1">
        <v>45088</v>
      </c>
      <c r="C266" t="s">
        <v>613</v>
      </c>
      <c r="D266" t="s">
        <v>30</v>
      </c>
      <c r="E266" t="s">
        <v>92</v>
      </c>
      <c r="F266" t="s">
        <v>60</v>
      </c>
      <c r="G266" t="s">
        <v>42</v>
      </c>
      <c r="H266" t="s">
        <v>46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t="s">
        <v>34</v>
      </c>
    </row>
    <row r="267" spans="1:15" x14ac:dyDescent="0.35">
      <c r="A267" t="s">
        <v>614</v>
      </c>
      <c r="B267" s="1">
        <v>45088</v>
      </c>
      <c r="C267" t="s">
        <v>615</v>
      </c>
      <c r="D267" t="s">
        <v>49</v>
      </c>
      <c r="E267" t="s">
        <v>18</v>
      </c>
      <c r="F267" t="s">
        <v>19</v>
      </c>
      <c r="G267" t="s">
        <v>20</v>
      </c>
      <c r="H267" t="s">
        <v>122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t="s">
        <v>34</v>
      </c>
    </row>
    <row r="268" spans="1:15" x14ac:dyDescent="0.35">
      <c r="A268" t="s">
        <v>616</v>
      </c>
      <c r="B268" s="1">
        <v>45088</v>
      </c>
      <c r="C268" t="s">
        <v>617</v>
      </c>
      <c r="D268" t="s">
        <v>30</v>
      </c>
      <c r="E268" t="s">
        <v>76</v>
      </c>
      <c r="F268" t="s">
        <v>26</v>
      </c>
      <c r="G268" t="s">
        <v>42</v>
      </c>
      <c r="H268" t="s">
        <v>255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t="s">
        <v>22</v>
      </c>
    </row>
    <row r="269" spans="1:15" x14ac:dyDescent="0.35">
      <c r="A269" t="s">
        <v>618</v>
      </c>
      <c r="B269" s="1">
        <v>45088</v>
      </c>
      <c r="C269" t="s">
        <v>619</v>
      </c>
      <c r="D269" t="s">
        <v>30</v>
      </c>
      <c r="E269" t="s">
        <v>37</v>
      </c>
      <c r="F269" t="s">
        <v>26</v>
      </c>
      <c r="G269" t="s">
        <v>20</v>
      </c>
      <c r="H269" t="s">
        <v>38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t="s">
        <v>34</v>
      </c>
    </row>
    <row r="270" spans="1:15" x14ac:dyDescent="0.35">
      <c r="A270" t="s">
        <v>620</v>
      </c>
      <c r="B270" s="1">
        <v>45089</v>
      </c>
      <c r="C270" t="s">
        <v>621</v>
      </c>
      <c r="D270" t="s">
        <v>17</v>
      </c>
      <c r="E270" t="s">
        <v>76</v>
      </c>
      <c r="F270" t="s">
        <v>26</v>
      </c>
      <c r="G270" t="s">
        <v>20</v>
      </c>
      <c r="H270" t="s">
        <v>27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t="s">
        <v>34</v>
      </c>
    </row>
    <row r="271" spans="1:15" x14ac:dyDescent="0.35">
      <c r="A271" t="s">
        <v>622</v>
      </c>
      <c r="B271" s="1">
        <v>45089</v>
      </c>
      <c r="C271" t="s">
        <v>623</v>
      </c>
      <c r="D271" t="s">
        <v>17</v>
      </c>
      <c r="E271" t="s">
        <v>18</v>
      </c>
      <c r="F271" t="s">
        <v>19</v>
      </c>
      <c r="G271" t="s">
        <v>42</v>
      </c>
      <c r="H271" t="s">
        <v>118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t="s">
        <v>56</v>
      </c>
    </row>
    <row r="272" spans="1:15" x14ac:dyDescent="0.35">
      <c r="A272" t="s">
        <v>624</v>
      </c>
      <c r="B272" s="1">
        <v>45089</v>
      </c>
      <c r="C272" t="s">
        <v>625</v>
      </c>
      <c r="D272" t="s">
        <v>30</v>
      </c>
      <c r="E272" t="s">
        <v>85</v>
      </c>
      <c r="F272" t="s">
        <v>60</v>
      </c>
      <c r="G272" t="s">
        <v>20</v>
      </c>
      <c r="H272" t="s">
        <v>55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t="s">
        <v>34</v>
      </c>
    </row>
    <row r="273" spans="1:15" x14ac:dyDescent="0.35">
      <c r="A273" t="s">
        <v>626</v>
      </c>
      <c r="B273" s="1">
        <v>45090</v>
      </c>
      <c r="C273" t="s">
        <v>627</v>
      </c>
      <c r="D273" t="s">
        <v>30</v>
      </c>
      <c r="E273" t="s">
        <v>31</v>
      </c>
      <c r="F273" t="s">
        <v>19</v>
      </c>
      <c r="G273" t="s">
        <v>20</v>
      </c>
      <c r="H273" t="s">
        <v>106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t="s">
        <v>34</v>
      </c>
    </row>
    <row r="274" spans="1:15" x14ac:dyDescent="0.35">
      <c r="A274" t="s">
        <v>628</v>
      </c>
      <c r="B274" s="1">
        <v>45090</v>
      </c>
      <c r="C274" t="s">
        <v>629</v>
      </c>
      <c r="D274" t="s">
        <v>17</v>
      </c>
      <c r="E274" t="s">
        <v>31</v>
      </c>
      <c r="F274" t="s">
        <v>19</v>
      </c>
      <c r="G274" t="s">
        <v>32</v>
      </c>
      <c r="H274" t="s">
        <v>82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t="s">
        <v>34</v>
      </c>
    </row>
    <row r="275" spans="1:15" x14ac:dyDescent="0.35">
      <c r="A275" t="s">
        <v>630</v>
      </c>
      <c r="B275" s="1">
        <v>45091</v>
      </c>
      <c r="C275" t="s">
        <v>631</v>
      </c>
      <c r="D275" t="s">
        <v>30</v>
      </c>
      <c r="E275" t="s">
        <v>166</v>
      </c>
      <c r="F275" t="s">
        <v>60</v>
      </c>
      <c r="G275" t="s">
        <v>69</v>
      </c>
      <c r="H275" t="s">
        <v>243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t="s">
        <v>34</v>
      </c>
    </row>
    <row r="276" spans="1:15" x14ac:dyDescent="0.35">
      <c r="A276" t="s">
        <v>632</v>
      </c>
      <c r="B276" s="1">
        <v>45091</v>
      </c>
      <c r="C276" t="s">
        <v>633</v>
      </c>
      <c r="D276" t="s">
        <v>49</v>
      </c>
      <c r="E276" t="s">
        <v>37</v>
      </c>
      <c r="F276" t="s">
        <v>26</v>
      </c>
      <c r="G276" t="s">
        <v>32</v>
      </c>
      <c r="H276" t="s">
        <v>73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t="s">
        <v>34</v>
      </c>
    </row>
    <row r="277" spans="1:15" x14ac:dyDescent="0.35">
      <c r="A277" t="s">
        <v>634</v>
      </c>
      <c r="B277" s="1">
        <v>45094</v>
      </c>
      <c r="C277" t="s">
        <v>635</v>
      </c>
      <c r="D277" t="s">
        <v>17</v>
      </c>
      <c r="E277" t="s">
        <v>138</v>
      </c>
      <c r="F277" t="s">
        <v>54</v>
      </c>
      <c r="G277" t="s">
        <v>42</v>
      </c>
      <c r="H277" t="s">
        <v>118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t="s">
        <v>22</v>
      </c>
    </row>
    <row r="278" spans="1:15" x14ac:dyDescent="0.35">
      <c r="A278" t="s">
        <v>636</v>
      </c>
      <c r="B278" s="1">
        <v>45094</v>
      </c>
      <c r="C278" t="s">
        <v>637</v>
      </c>
      <c r="D278" t="s">
        <v>30</v>
      </c>
      <c r="E278" t="s">
        <v>37</v>
      </c>
      <c r="F278" t="s">
        <v>26</v>
      </c>
      <c r="G278" t="s">
        <v>20</v>
      </c>
      <c r="H278" t="s">
        <v>106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t="s">
        <v>39</v>
      </c>
    </row>
    <row r="279" spans="1:15" x14ac:dyDescent="0.35">
      <c r="A279" t="s">
        <v>638</v>
      </c>
      <c r="B279" s="1">
        <v>45095</v>
      </c>
      <c r="C279" t="s">
        <v>639</v>
      </c>
      <c r="D279" t="s">
        <v>30</v>
      </c>
      <c r="E279" t="s">
        <v>37</v>
      </c>
      <c r="F279" t="s">
        <v>26</v>
      </c>
      <c r="G279" t="s">
        <v>42</v>
      </c>
      <c r="H279" t="s">
        <v>89</v>
      </c>
      <c r="I279">
        <v>10</v>
      </c>
      <c r="J279">
        <v>398.27</v>
      </c>
      <c r="K279">
        <v>5</v>
      </c>
      <c r="L279">
        <v>3783.56</v>
      </c>
      <c r="M279">
        <v>20.309999999999999</v>
      </c>
      <c r="N279">
        <v>1373.63</v>
      </c>
      <c r="O279" t="s">
        <v>22</v>
      </c>
    </row>
    <row r="280" spans="1:15" x14ac:dyDescent="0.35">
      <c r="A280" t="s">
        <v>640</v>
      </c>
      <c r="B280" s="1">
        <v>45096</v>
      </c>
      <c r="C280" t="s">
        <v>641</v>
      </c>
      <c r="D280" t="s">
        <v>17</v>
      </c>
      <c r="E280" t="s">
        <v>63</v>
      </c>
      <c r="F280" t="s">
        <v>54</v>
      </c>
      <c r="G280" t="s">
        <v>42</v>
      </c>
      <c r="H280" t="s">
        <v>43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t="s">
        <v>39</v>
      </c>
    </row>
    <row r="281" spans="1:15" x14ac:dyDescent="0.35">
      <c r="A281" t="s">
        <v>642</v>
      </c>
      <c r="B281" s="1">
        <v>45096</v>
      </c>
      <c r="C281" t="s">
        <v>643</v>
      </c>
      <c r="D281" t="s">
        <v>30</v>
      </c>
      <c r="E281" t="s">
        <v>169</v>
      </c>
      <c r="F281" t="s">
        <v>68</v>
      </c>
      <c r="G281" t="s">
        <v>69</v>
      </c>
      <c r="H281" t="s">
        <v>305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t="s">
        <v>34</v>
      </c>
    </row>
    <row r="282" spans="1:15" x14ac:dyDescent="0.35">
      <c r="A282" t="s">
        <v>644</v>
      </c>
      <c r="B282" s="1">
        <v>45096</v>
      </c>
      <c r="C282" t="s">
        <v>645</v>
      </c>
      <c r="D282" t="s">
        <v>49</v>
      </c>
      <c r="E282" t="s">
        <v>85</v>
      </c>
      <c r="F282" t="s">
        <v>60</v>
      </c>
      <c r="G282" t="s">
        <v>32</v>
      </c>
      <c r="H282" t="s">
        <v>115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t="s">
        <v>22</v>
      </c>
    </row>
    <row r="283" spans="1:15" x14ac:dyDescent="0.35">
      <c r="A283" t="s">
        <v>646</v>
      </c>
      <c r="B283" s="1">
        <v>45097</v>
      </c>
      <c r="C283" t="s">
        <v>647</v>
      </c>
      <c r="D283" t="s">
        <v>17</v>
      </c>
      <c r="E283" t="s">
        <v>109</v>
      </c>
      <c r="F283" t="s">
        <v>54</v>
      </c>
      <c r="G283" t="s">
        <v>42</v>
      </c>
      <c r="H283" t="s">
        <v>234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t="s">
        <v>56</v>
      </c>
    </row>
    <row r="284" spans="1:15" x14ac:dyDescent="0.35">
      <c r="A284" t="s">
        <v>648</v>
      </c>
      <c r="B284" s="1">
        <v>45098</v>
      </c>
      <c r="C284" t="s">
        <v>649</v>
      </c>
      <c r="D284" t="s">
        <v>49</v>
      </c>
      <c r="E284" t="s">
        <v>135</v>
      </c>
      <c r="F284" t="s">
        <v>26</v>
      </c>
      <c r="G284" t="s">
        <v>20</v>
      </c>
      <c r="H284" t="s">
        <v>175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t="s">
        <v>34</v>
      </c>
    </row>
    <row r="285" spans="1:15" x14ac:dyDescent="0.35">
      <c r="A285" t="s">
        <v>650</v>
      </c>
      <c r="B285" s="1">
        <v>45099</v>
      </c>
      <c r="C285" t="s">
        <v>651</v>
      </c>
      <c r="D285" t="s">
        <v>17</v>
      </c>
      <c r="E285" t="s">
        <v>31</v>
      </c>
      <c r="F285" t="s">
        <v>19</v>
      </c>
      <c r="G285" t="s">
        <v>69</v>
      </c>
      <c r="H285" t="s">
        <v>196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t="s">
        <v>39</v>
      </c>
    </row>
    <row r="286" spans="1:15" x14ac:dyDescent="0.35">
      <c r="A286" t="s">
        <v>652</v>
      </c>
      <c r="B286" s="1">
        <v>45100</v>
      </c>
      <c r="C286" t="s">
        <v>373</v>
      </c>
      <c r="D286" t="s">
        <v>30</v>
      </c>
      <c r="E286" t="s">
        <v>129</v>
      </c>
      <c r="F286" t="s">
        <v>19</v>
      </c>
      <c r="G286" t="s">
        <v>32</v>
      </c>
      <c r="H286" t="s">
        <v>82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t="s">
        <v>34</v>
      </c>
    </row>
    <row r="287" spans="1:15" x14ac:dyDescent="0.35">
      <c r="A287" t="s">
        <v>653</v>
      </c>
      <c r="B287" s="1">
        <v>45100</v>
      </c>
      <c r="C287" t="s">
        <v>165</v>
      </c>
      <c r="D287" t="s">
        <v>17</v>
      </c>
      <c r="E287" t="s">
        <v>109</v>
      </c>
      <c r="F287" t="s">
        <v>54</v>
      </c>
      <c r="G287" t="s">
        <v>69</v>
      </c>
      <c r="H287" t="s">
        <v>196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t="s">
        <v>39</v>
      </c>
    </row>
    <row r="288" spans="1:15" x14ac:dyDescent="0.35">
      <c r="A288" t="s">
        <v>654</v>
      </c>
      <c r="B288" s="1">
        <v>45100</v>
      </c>
      <c r="C288" t="s">
        <v>655</v>
      </c>
      <c r="D288" t="s">
        <v>17</v>
      </c>
      <c r="E288" t="s">
        <v>92</v>
      </c>
      <c r="F288" t="s">
        <v>60</v>
      </c>
      <c r="G288" t="s">
        <v>42</v>
      </c>
      <c r="H288" t="s">
        <v>294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t="s">
        <v>56</v>
      </c>
    </row>
    <row r="289" spans="1:15" x14ac:dyDescent="0.35">
      <c r="A289" t="s">
        <v>656</v>
      </c>
      <c r="B289" s="1">
        <v>45101</v>
      </c>
      <c r="C289" t="s">
        <v>657</v>
      </c>
      <c r="D289" t="s">
        <v>30</v>
      </c>
      <c r="E289" t="s">
        <v>166</v>
      </c>
      <c r="F289" t="s">
        <v>60</v>
      </c>
      <c r="G289" t="s">
        <v>20</v>
      </c>
      <c r="H289" t="s">
        <v>264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t="s">
        <v>39</v>
      </c>
    </row>
    <row r="290" spans="1:15" x14ac:dyDescent="0.35">
      <c r="A290" t="s">
        <v>658</v>
      </c>
      <c r="B290" s="1">
        <v>45103</v>
      </c>
      <c r="C290" t="s">
        <v>659</v>
      </c>
      <c r="D290" t="s">
        <v>30</v>
      </c>
      <c r="E290" t="s">
        <v>63</v>
      </c>
      <c r="F290" t="s">
        <v>54</v>
      </c>
      <c r="G290" t="s">
        <v>32</v>
      </c>
      <c r="H290" t="s">
        <v>115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t="s">
        <v>34</v>
      </c>
    </row>
    <row r="291" spans="1:15" x14ac:dyDescent="0.35">
      <c r="A291" t="s">
        <v>660</v>
      </c>
      <c r="B291" s="1">
        <v>45104</v>
      </c>
      <c r="C291" t="s">
        <v>661</v>
      </c>
      <c r="D291" t="s">
        <v>17</v>
      </c>
      <c r="E291" t="s">
        <v>135</v>
      </c>
      <c r="F291" t="s">
        <v>26</v>
      </c>
      <c r="G291" t="s">
        <v>69</v>
      </c>
      <c r="H291" t="s">
        <v>243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t="s">
        <v>34</v>
      </c>
    </row>
    <row r="292" spans="1:15" x14ac:dyDescent="0.35">
      <c r="A292" t="s">
        <v>662</v>
      </c>
      <c r="B292" s="1">
        <v>45104</v>
      </c>
      <c r="C292" t="s">
        <v>663</v>
      </c>
      <c r="D292" t="s">
        <v>17</v>
      </c>
      <c r="E292" t="s">
        <v>37</v>
      </c>
      <c r="F292" t="s">
        <v>26</v>
      </c>
      <c r="G292" t="s">
        <v>32</v>
      </c>
      <c r="H292" t="s">
        <v>115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t="s">
        <v>22</v>
      </c>
    </row>
    <row r="293" spans="1:15" x14ac:dyDescent="0.35">
      <c r="A293" t="s">
        <v>664</v>
      </c>
      <c r="B293" s="1">
        <v>45104</v>
      </c>
      <c r="C293" t="s">
        <v>665</v>
      </c>
      <c r="D293" t="s">
        <v>30</v>
      </c>
      <c r="E293" t="s">
        <v>109</v>
      </c>
      <c r="F293" t="s">
        <v>54</v>
      </c>
      <c r="G293" t="s">
        <v>69</v>
      </c>
      <c r="H293" t="s">
        <v>160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t="s">
        <v>22</v>
      </c>
    </row>
    <row r="294" spans="1:15" x14ac:dyDescent="0.35">
      <c r="A294" t="s">
        <v>666</v>
      </c>
      <c r="B294" s="1">
        <v>45104</v>
      </c>
      <c r="C294" t="s">
        <v>667</v>
      </c>
      <c r="D294" t="s">
        <v>30</v>
      </c>
      <c r="E294" t="s">
        <v>63</v>
      </c>
      <c r="F294" t="s">
        <v>54</v>
      </c>
      <c r="G294" t="s">
        <v>42</v>
      </c>
      <c r="H294" t="s">
        <v>118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t="s">
        <v>34</v>
      </c>
    </row>
    <row r="295" spans="1:15" x14ac:dyDescent="0.35">
      <c r="A295" t="s">
        <v>668</v>
      </c>
      <c r="B295" s="1">
        <v>45105</v>
      </c>
      <c r="C295" t="s">
        <v>669</v>
      </c>
      <c r="D295" t="s">
        <v>30</v>
      </c>
      <c r="E295" t="s">
        <v>37</v>
      </c>
      <c r="F295" t="s">
        <v>26</v>
      </c>
      <c r="G295" t="s">
        <v>69</v>
      </c>
      <c r="H295" t="s">
        <v>305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t="s">
        <v>22</v>
      </c>
    </row>
    <row r="296" spans="1:15" x14ac:dyDescent="0.35">
      <c r="A296" t="s">
        <v>670</v>
      </c>
      <c r="B296" s="1">
        <v>45105</v>
      </c>
      <c r="C296" t="s">
        <v>277</v>
      </c>
      <c r="D296" t="s">
        <v>17</v>
      </c>
      <c r="E296" t="s">
        <v>129</v>
      </c>
      <c r="F296" t="s">
        <v>19</v>
      </c>
      <c r="G296" t="s">
        <v>69</v>
      </c>
      <c r="H296" t="s">
        <v>243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t="s">
        <v>22</v>
      </c>
    </row>
    <row r="297" spans="1:15" x14ac:dyDescent="0.35">
      <c r="A297" t="s">
        <v>671</v>
      </c>
      <c r="B297" s="1">
        <v>45106</v>
      </c>
      <c r="C297" t="s">
        <v>672</v>
      </c>
      <c r="D297" t="s">
        <v>30</v>
      </c>
      <c r="E297" t="s">
        <v>129</v>
      </c>
      <c r="F297" t="s">
        <v>19</v>
      </c>
      <c r="G297" t="s">
        <v>20</v>
      </c>
      <c r="H297" t="s">
        <v>38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t="s">
        <v>34</v>
      </c>
    </row>
    <row r="298" spans="1:15" x14ac:dyDescent="0.35">
      <c r="A298" t="s">
        <v>673</v>
      </c>
      <c r="B298" s="1">
        <v>45106</v>
      </c>
      <c r="C298" t="s">
        <v>674</v>
      </c>
      <c r="D298" t="s">
        <v>30</v>
      </c>
      <c r="E298" t="s">
        <v>85</v>
      </c>
      <c r="F298" t="s">
        <v>60</v>
      </c>
      <c r="G298" t="s">
        <v>69</v>
      </c>
      <c r="H298" t="s">
        <v>163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t="s">
        <v>56</v>
      </c>
    </row>
    <row r="299" spans="1:15" x14ac:dyDescent="0.35">
      <c r="A299" t="s">
        <v>675</v>
      </c>
      <c r="B299" s="1">
        <v>45108</v>
      </c>
      <c r="C299" t="s">
        <v>676</v>
      </c>
      <c r="D299" t="s">
        <v>17</v>
      </c>
      <c r="E299" t="s">
        <v>25</v>
      </c>
      <c r="F299" t="s">
        <v>26</v>
      </c>
      <c r="G299" t="s">
        <v>20</v>
      </c>
      <c r="H299" t="s">
        <v>55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t="s">
        <v>22</v>
      </c>
    </row>
    <row r="300" spans="1:15" x14ac:dyDescent="0.35">
      <c r="A300" t="s">
        <v>677</v>
      </c>
      <c r="B300" s="1">
        <v>45108</v>
      </c>
      <c r="C300" t="s">
        <v>678</v>
      </c>
      <c r="D300" t="s">
        <v>49</v>
      </c>
      <c r="E300" t="s">
        <v>92</v>
      </c>
      <c r="F300" t="s">
        <v>60</v>
      </c>
      <c r="G300" t="s">
        <v>20</v>
      </c>
      <c r="H300" t="s">
        <v>122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t="s">
        <v>34</v>
      </c>
    </row>
    <row r="301" spans="1:15" x14ac:dyDescent="0.35">
      <c r="A301" t="s">
        <v>679</v>
      </c>
      <c r="B301" s="1">
        <v>45108</v>
      </c>
      <c r="C301" t="s">
        <v>680</v>
      </c>
      <c r="D301" t="s">
        <v>30</v>
      </c>
      <c r="E301" t="s">
        <v>92</v>
      </c>
      <c r="F301" t="s">
        <v>60</v>
      </c>
      <c r="G301" t="s">
        <v>32</v>
      </c>
      <c r="H301" t="s">
        <v>132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t="s">
        <v>39</v>
      </c>
    </row>
    <row r="302" spans="1:15" x14ac:dyDescent="0.35">
      <c r="A302" t="s">
        <v>681</v>
      </c>
      <c r="B302" s="1">
        <v>45108</v>
      </c>
      <c r="C302" t="s">
        <v>682</v>
      </c>
      <c r="D302" t="s">
        <v>30</v>
      </c>
      <c r="E302" t="s">
        <v>109</v>
      </c>
      <c r="F302" t="s">
        <v>54</v>
      </c>
      <c r="G302" t="s">
        <v>42</v>
      </c>
      <c r="H302" t="s">
        <v>89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t="s">
        <v>39</v>
      </c>
    </row>
    <row r="303" spans="1:15" x14ac:dyDescent="0.35">
      <c r="A303" t="s">
        <v>683</v>
      </c>
      <c r="B303" s="1">
        <v>45108</v>
      </c>
      <c r="C303" t="s">
        <v>684</v>
      </c>
      <c r="D303" t="s">
        <v>17</v>
      </c>
      <c r="E303" t="s">
        <v>31</v>
      </c>
      <c r="F303" t="s">
        <v>19</v>
      </c>
      <c r="G303" t="s">
        <v>69</v>
      </c>
      <c r="H303" t="s">
        <v>163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t="s">
        <v>34</v>
      </c>
    </row>
    <row r="304" spans="1:15" x14ac:dyDescent="0.35">
      <c r="A304" t="s">
        <v>685</v>
      </c>
      <c r="B304" s="1">
        <v>45110</v>
      </c>
      <c r="C304" t="s">
        <v>279</v>
      </c>
      <c r="D304" t="s">
        <v>30</v>
      </c>
      <c r="E304" t="s">
        <v>166</v>
      </c>
      <c r="F304" t="s">
        <v>60</v>
      </c>
      <c r="G304" t="s">
        <v>20</v>
      </c>
      <c r="H304" t="s">
        <v>106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t="s">
        <v>34</v>
      </c>
    </row>
    <row r="305" spans="1:15" x14ac:dyDescent="0.35">
      <c r="A305" t="s">
        <v>686</v>
      </c>
      <c r="B305" s="1">
        <v>45110</v>
      </c>
      <c r="C305" t="s">
        <v>439</v>
      </c>
      <c r="D305" t="s">
        <v>17</v>
      </c>
      <c r="E305" t="s">
        <v>63</v>
      </c>
      <c r="F305" t="s">
        <v>54</v>
      </c>
      <c r="G305" t="s">
        <v>42</v>
      </c>
      <c r="H305" t="s">
        <v>43</v>
      </c>
      <c r="I305">
        <v>7</v>
      </c>
      <c r="J305">
        <v>309.68</v>
      </c>
      <c r="K305">
        <v>20</v>
      </c>
      <c r="L305">
        <v>1734.21</v>
      </c>
      <c r="M305">
        <v>19.940000000000001</v>
      </c>
      <c r="N305">
        <v>413.61</v>
      </c>
      <c r="O305" t="s">
        <v>34</v>
      </c>
    </row>
    <row r="306" spans="1:15" x14ac:dyDescent="0.35">
      <c r="A306" t="s">
        <v>687</v>
      </c>
      <c r="B306" s="1">
        <v>45111</v>
      </c>
      <c r="C306" t="s">
        <v>688</v>
      </c>
      <c r="D306" t="s">
        <v>49</v>
      </c>
      <c r="E306" t="s">
        <v>138</v>
      </c>
      <c r="F306" t="s">
        <v>54</v>
      </c>
      <c r="G306" t="s">
        <v>42</v>
      </c>
      <c r="H306" t="s">
        <v>255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t="s">
        <v>34</v>
      </c>
    </row>
    <row r="307" spans="1:15" x14ac:dyDescent="0.35">
      <c r="A307" t="s">
        <v>689</v>
      </c>
      <c r="B307" s="1">
        <v>45112</v>
      </c>
      <c r="C307" t="s">
        <v>690</v>
      </c>
      <c r="D307" t="s">
        <v>49</v>
      </c>
      <c r="E307" t="s">
        <v>31</v>
      </c>
      <c r="F307" t="s">
        <v>19</v>
      </c>
      <c r="G307" t="s">
        <v>32</v>
      </c>
      <c r="H307" t="s">
        <v>101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t="s">
        <v>22</v>
      </c>
    </row>
    <row r="308" spans="1:15" x14ac:dyDescent="0.35">
      <c r="A308" t="s">
        <v>691</v>
      </c>
      <c r="B308" s="1">
        <v>45113</v>
      </c>
      <c r="C308" t="s">
        <v>692</v>
      </c>
      <c r="D308" t="s">
        <v>49</v>
      </c>
      <c r="E308" t="s">
        <v>129</v>
      </c>
      <c r="F308" t="s">
        <v>19</v>
      </c>
      <c r="G308" t="s">
        <v>32</v>
      </c>
      <c r="H308" t="s">
        <v>149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t="s">
        <v>34</v>
      </c>
    </row>
    <row r="309" spans="1:15" x14ac:dyDescent="0.35">
      <c r="A309" t="s">
        <v>693</v>
      </c>
      <c r="B309" s="1">
        <v>45113</v>
      </c>
      <c r="C309" t="s">
        <v>694</v>
      </c>
      <c r="D309" t="s">
        <v>17</v>
      </c>
      <c r="E309" t="s">
        <v>18</v>
      </c>
      <c r="F309" t="s">
        <v>19</v>
      </c>
      <c r="G309" t="s">
        <v>32</v>
      </c>
      <c r="H309" t="s">
        <v>132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t="s">
        <v>56</v>
      </c>
    </row>
    <row r="310" spans="1:15" x14ac:dyDescent="0.35">
      <c r="A310" t="s">
        <v>695</v>
      </c>
      <c r="B310" s="1">
        <v>45113</v>
      </c>
      <c r="C310" t="s">
        <v>696</v>
      </c>
      <c r="D310" t="s">
        <v>49</v>
      </c>
      <c r="E310" t="s">
        <v>85</v>
      </c>
      <c r="F310" t="s">
        <v>60</v>
      </c>
      <c r="G310" t="s">
        <v>42</v>
      </c>
      <c r="H310" t="s">
        <v>46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t="s">
        <v>34</v>
      </c>
    </row>
    <row r="311" spans="1:15" x14ac:dyDescent="0.35">
      <c r="A311" t="s">
        <v>697</v>
      </c>
      <c r="B311" s="1">
        <v>45113</v>
      </c>
      <c r="C311" t="s">
        <v>698</v>
      </c>
      <c r="D311" t="s">
        <v>17</v>
      </c>
      <c r="E311" t="s">
        <v>31</v>
      </c>
      <c r="F311" t="s">
        <v>19</v>
      </c>
      <c r="G311" t="s">
        <v>20</v>
      </c>
      <c r="H311" t="s">
        <v>106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t="s">
        <v>39</v>
      </c>
    </row>
    <row r="312" spans="1:15" x14ac:dyDescent="0.35">
      <c r="A312" t="s">
        <v>699</v>
      </c>
      <c r="B312" s="1">
        <v>45114</v>
      </c>
      <c r="C312" t="s">
        <v>669</v>
      </c>
      <c r="D312" t="s">
        <v>49</v>
      </c>
      <c r="E312" t="s">
        <v>121</v>
      </c>
      <c r="F312" t="s">
        <v>68</v>
      </c>
      <c r="G312" t="s">
        <v>32</v>
      </c>
      <c r="H312" t="s">
        <v>132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t="s">
        <v>56</v>
      </c>
    </row>
    <row r="313" spans="1:15" x14ac:dyDescent="0.35">
      <c r="A313" t="s">
        <v>700</v>
      </c>
      <c r="B313" s="1">
        <v>45114</v>
      </c>
      <c r="C313" t="s">
        <v>701</v>
      </c>
      <c r="D313" t="s">
        <v>30</v>
      </c>
      <c r="E313" t="s">
        <v>37</v>
      </c>
      <c r="F313" t="s">
        <v>26</v>
      </c>
      <c r="G313" t="s">
        <v>69</v>
      </c>
      <c r="H313" t="s">
        <v>160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t="s">
        <v>34</v>
      </c>
    </row>
    <row r="314" spans="1:15" x14ac:dyDescent="0.35">
      <c r="A314" t="s">
        <v>702</v>
      </c>
      <c r="B314" s="1">
        <v>45115</v>
      </c>
      <c r="C314" t="s">
        <v>703</v>
      </c>
      <c r="D314" t="s">
        <v>49</v>
      </c>
      <c r="E314" t="s">
        <v>25</v>
      </c>
      <c r="F314" t="s">
        <v>26</v>
      </c>
      <c r="G314" t="s">
        <v>20</v>
      </c>
      <c r="H314" t="s">
        <v>55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t="s">
        <v>34</v>
      </c>
    </row>
    <row r="315" spans="1:15" x14ac:dyDescent="0.35">
      <c r="A315" t="s">
        <v>704</v>
      </c>
      <c r="B315" s="1">
        <v>45116</v>
      </c>
      <c r="C315" t="s">
        <v>266</v>
      </c>
      <c r="D315" t="s">
        <v>30</v>
      </c>
      <c r="E315" t="s">
        <v>85</v>
      </c>
      <c r="F315" t="s">
        <v>60</v>
      </c>
      <c r="G315" t="s">
        <v>42</v>
      </c>
      <c r="H315" t="s">
        <v>255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t="s">
        <v>39</v>
      </c>
    </row>
    <row r="316" spans="1:15" x14ac:dyDescent="0.35">
      <c r="A316" t="s">
        <v>705</v>
      </c>
      <c r="B316" s="1">
        <v>45116</v>
      </c>
      <c r="C316" t="s">
        <v>706</v>
      </c>
      <c r="D316" t="s">
        <v>30</v>
      </c>
      <c r="E316" t="s">
        <v>169</v>
      </c>
      <c r="F316" t="s">
        <v>68</v>
      </c>
      <c r="G316" t="s">
        <v>32</v>
      </c>
      <c r="H316" t="s">
        <v>73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t="s">
        <v>34</v>
      </c>
    </row>
    <row r="317" spans="1:15" x14ac:dyDescent="0.35">
      <c r="A317" t="s">
        <v>707</v>
      </c>
      <c r="B317" s="1">
        <v>45117</v>
      </c>
      <c r="C317" t="s">
        <v>708</v>
      </c>
      <c r="D317" t="s">
        <v>17</v>
      </c>
      <c r="E317" t="s">
        <v>76</v>
      </c>
      <c r="F317" t="s">
        <v>26</v>
      </c>
      <c r="G317" t="s">
        <v>32</v>
      </c>
      <c r="H317" t="s">
        <v>101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t="s">
        <v>39</v>
      </c>
    </row>
    <row r="318" spans="1:15" x14ac:dyDescent="0.35">
      <c r="A318" t="s">
        <v>709</v>
      </c>
      <c r="B318" s="1">
        <v>45117</v>
      </c>
      <c r="C318" t="s">
        <v>710</v>
      </c>
      <c r="D318" t="s">
        <v>30</v>
      </c>
      <c r="E318" t="s">
        <v>18</v>
      </c>
      <c r="F318" t="s">
        <v>19</v>
      </c>
      <c r="G318" t="s">
        <v>69</v>
      </c>
      <c r="H318" t="s">
        <v>196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t="s">
        <v>34</v>
      </c>
    </row>
    <row r="319" spans="1:15" x14ac:dyDescent="0.35">
      <c r="A319" t="s">
        <v>711</v>
      </c>
      <c r="B319" s="1">
        <v>45117</v>
      </c>
      <c r="C319" t="s">
        <v>712</v>
      </c>
      <c r="D319" t="s">
        <v>30</v>
      </c>
      <c r="E319" t="s">
        <v>129</v>
      </c>
      <c r="F319" t="s">
        <v>19</v>
      </c>
      <c r="G319" t="s">
        <v>69</v>
      </c>
      <c r="H319" t="s">
        <v>305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t="s">
        <v>34</v>
      </c>
    </row>
    <row r="320" spans="1:15" x14ac:dyDescent="0.35">
      <c r="A320" t="s">
        <v>713</v>
      </c>
      <c r="B320" s="1">
        <v>45118</v>
      </c>
      <c r="C320" t="s">
        <v>714</v>
      </c>
      <c r="D320" t="s">
        <v>30</v>
      </c>
      <c r="E320" t="s">
        <v>148</v>
      </c>
      <c r="F320" t="s">
        <v>60</v>
      </c>
      <c r="G320" t="s">
        <v>32</v>
      </c>
      <c r="H320" t="s">
        <v>33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t="s">
        <v>34</v>
      </c>
    </row>
    <row r="321" spans="1:15" x14ac:dyDescent="0.35">
      <c r="A321" t="s">
        <v>715</v>
      </c>
      <c r="B321" s="1">
        <v>45118</v>
      </c>
      <c r="C321" t="s">
        <v>716</v>
      </c>
      <c r="D321" t="s">
        <v>17</v>
      </c>
      <c r="E321" t="s">
        <v>31</v>
      </c>
      <c r="F321" t="s">
        <v>19</v>
      </c>
      <c r="G321" t="s">
        <v>20</v>
      </c>
      <c r="H321" t="s">
        <v>38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t="s">
        <v>56</v>
      </c>
    </row>
    <row r="322" spans="1:15" x14ac:dyDescent="0.35">
      <c r="A322" t="s">
        <v>717</v>
      </c>
      <c r="B322" s="1">
        <v>45119</v>
      </c>
      <c r="C322" t="s">
        <v>718</v>
      </c>
      <c r="D322" t="s">
        <v>30</v>
      </c>
      <c r="E322" t="s">
        <v>31</v>
      </c>
      <c r="F322" t="s">
        <v>19</v>
      </c>
      <c r="G322" t="s">
        <v>69</v>
      </c>
      <c r="H322" t="s">
        <v>98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t="s">
        <v>34</v>
      </c>
    </row>
    <row r="323" spans="1:15" x14ac:dyDescent="0.35">
      <c r="A323" t="s">
        <v>719</v>
      </c>
      <c r="B323" s="1">
        <v>45120</v>
      </c>
      <c r="C323" t="s">
        <v>720</v>
      </c>
      <c r="D323" t="s">
        <v>17</v>
      </c>
      <c r="E323" t="s">
        <v>63</v>
      </c>
      <c r="F323" t="s">
        <v>54</v>
      </c>
      <c r="G323" t="s">
        <v>20</v>
      </c>
      <c r="H323" t="s">
        <v>106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t="s">
        <v>39</v>
      </c>
    </row>
    <row r="324" spans="1:15" x14ac:dyDescent="0.35">
      <c r="A324" t="s">
        <v>721</v>
      </c>
      <c r="B324" s="1">
        <v>45120</v>
      </c>
      <c r="C324" t="s">
        <v>722</v>
      </c>
      <c r="D324" t="s">
        <v>17</v>
      </c>
      <c r="E324" t="s">
        <v>37</v>
      </c>
      <c r="F324" t="s">
        <v>26</v>
      </c>
      <c r="G324" t="s">
        <v>42</v>
      </c>
      <c r="H324" t="s">
        <v>64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t="s">
        <v>34</v>
      </c>
    </row>
    <row r="325" spans="1:15" x14ac:dyDescent="0.35">
      <c r="A325" t="s">
        <v>723</v>
      </c>
      <c r="B325" s="1">
        <v>45120</v>
      </c>
      <c r="C325" t="s">
        <v>724</v>
      </c>
      <c r="D325" t="s">
        <v>17</v>
      </c>
      <c r="E325" t="s">
        <v>169</v>
      </c>
      <c r="F325" t="s">
        <v>68</v>
      </c>
      <c r="G325" t="s">
        <v>20</v>
      </c>
      <c r="H325" t="s">
        <v>264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t="s">
        <v>34</v>
      </c>
    </row>
    <row r="326" spans="1:15" x14ac:dyDescent="0.35">
      <c r="A326" t="s">
        <v>725</v>
      </c>
      <c r="B326" s="1">
        <v>45121</v>
      </c>
      <c r="C326" t="s">
        <v>726</v>
      </c>
      <c r="D326" t="s">
        <v>30</v>
      </c>
      <c r="E326" t="s">
        <v>85</v>
      </c>
      <c r="F326" t="s">
        <v>60</v>
      </c>
      <c r="G326" t="s">
        <v>32</v>
      </c>
      <c r="H326" t="s">
        <v>73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t="s">
        <v>56</v>
      </c>
    </row>
    <row r="327" spans="1:15" x14ac:dyDescent="0.35">
      <c r="A327" t="s">
        <v>727</v>
      </c>
      <c r="B327" s="1">
        <v>45121</v>
      </c>
      <c r="C327" t="s">
        <v>728</v>
      </c>
      <c r="D327" t="s">
        <v>30</v>
      </c>
      <c r="E327" t="s">
        <v>92</v>
      </c>
      <c r="F327" t="s">
        <v>60</v>
      </c>
      <c r="G327" t="s">
        <v>42</v>
      </c>
      <c r="H327" t="s">
        <v>93</v>
      </c>
      <c r="I327">
        <v>5</v>
      </c>
      <c r="J327">
        <v>394.43</v>
      </c>
      <c r="K327">
        <v>5</v>
      </c>
      <c r="L327">
        <v>1873.54</v>
      </c>
      <c r="M327">
        <v>12.1</v>
      </c>
      <c r="N327">
        <v>678.15</v>
      </c>
      <c r="O327" t="s">
        <v>56</v>
      </c>
    </row>
    <row r="328" spans="1:15" x14ac:dyDescent="0.35">
      <c r="A328" t="s">
        <v>729</v>
      </c>
      <c r="B328" s="1">
        <v>45122</v>
      </c>
      <c r="C328" t="s">
        <v>730</v>
      </c>
      <c r="D328" t="s">
        <v>49</v>
      </c>
      <c r="E328" t="s">
        <v>25</v>
      </c>
      <c r="F328" t="s">
        <v>26</v>
      </c>
      <c r="G328" t="s">
        <v>42</v>
      </c>
      <c r="H328" t="s">
        <v>371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t="s">
        <v>56</v>
      </c>
    </row>
    <row r="329" spans="1:15" x14ac:dyDescent="0.35">
      <c r="A329" t="s">
        <v>731</v>
      </c>
      <c r="B329" s="1">
        <v>45122</v>
      </c>
      <c r="C329" t="s">
        <v>732</v>
      </c>
      <c r="D329" t="s">
        <v>30</v>
      </c>
      <c r="E329" t="s">
        <v>148</v>
      </c>
      <c r="F329" t="s">
        <v>60</v>
      </c>
      <c r="G329" t="s">
        <v>42</v>
      </c>
      <c r="H329" t="s">
        <v>93</v>
      </c>
      <c r="I329">
        <v>7</v>
      </c>
      <c r="J329">
        <v>233.89</v>
      </c>
      <c r="K329">
        <v>0</v>
      </c>
      <c r="L329">
        <v>1637.23</v>
      </c>
      <c r="M329">
        <v>21.29</v>
      </c>
      <c r="N329">
        <v>633.6</v>
      </c>
      <c r="O329" t="s">
        <v>34</v>
      </c>
    </row>
    <row r="330" spans="1:15" x14ac:dyDescent="0.35">
      <c r="A330" t="s">
        <v>733</v>
      </c>
      <c r="B330" s="1">
        <v>45123</v>
      </c>
      <c r="C330" t="s">
        <v>734</v>
      </c>
      <c r="D330" t="s">
        <v>30</v>
      </c>
      <c r="E330" t="s">
        <v>135</v>
      </c>
      <c r="F330" t="s">
        <v>26</v>
      </c>
      <c r="G330" t="s">
        <v>69</v>
      </c>
      <c r="H330" t="s">
        <v>305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t="s">
        <v>34</v>
      </c>
    </row>
    <row r="331" spans="1:15" x14ac:dyDescent="0.35">
      <c r="A331" t="s">
        <v>735</v>
      </c>
      <c r="B331" s="1">
        <v>45123</v>
      </c>
      <c r="C331" t="s">
        <v>736</v>
      </c>
      <c r="D331" t="s">
        <v>49</v>
      </c>
      <c r="E331" t="s">
        <v>76</v>
      </c>
      <c r="F331" t="s">
        <v>26</v>
      </c>
      <c r="G331" t="s">
        <v>69</v>
      </c>
      <c r="H331" t="s">
        <v>243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t="s">
        <v>39</v>
      </c>
    </row>
    <row r="332" spans="1:15" x14ac:dyDescent="0.35">
      <c r="A332" t="s">
        <v>737</v>
      </c>
      <c r="B332" s="1">
        <v>45124</v>
      </c>
      <c r="C332" t="s">
        <v>738</v>
      </c>
      <c r="D332" t="s">
        <v>30</v>
      </c>
      <c r="E332" t="s">
        <v>129</v>
      </c>
      <c r="F332" t="s">
        <v>19</v>
      </c>
      <c r="G332" t="s">
        <v>32</v>
      </c>
      <c r="H332" t="s">
        <v>101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t="s">
        <v>34</v>
      </c>
    </row>
    <row r="333" spans="1:15" x14ac:dyDescent="0.35">
      <c r="A333" t="s">
        <v>739</v>
      </c>
      <c r="B333" s="1">
        <v>45125</v>
      </c>
      <c r="C333" t="s">
        <v>740</v>
      </c>
      <c r="D333" t="s">
        <v>30</v>
      </c>
      <c r="E333" t="s">
        <v>166</v>
      </c>
      <c r="F333" t="s">
        <v>60</v>
      </c>
      <c r="G333" t="s">
        <v>20</v>
      </c>
      <c r="H333" t="s">
        <v>21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t="s">
        <v>39</v>
      </c>
    </row>
    <row r="334" spans="1:15" x14ac:dyDescent="0.35">
      <c r="A334" t="s">
        <v>741</v>
      </c>
      <c r="B334" s="1">
        <v>45126</v>
      </c>
      <c r="C334" t="s">
        <v>742</v>
      </c>
      <c r="D334" t="s">
        <v>17</v>
      </c>
      <c r="E334" t="s">
        <v>166</v>
      </c>
      <c r="F334" t="s">
        <v>60</v>
      </c>
      <c r="G334" t="s">
        <v>42</v>
      </c>
      <c r="H334" t="s">
        <v>234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t="s">
        <v>22</v>
      </c>
    </row>
    <row r="335" spans="1:15" x14ac:dyDescent="0.35">
      <c r="A335" t="s">
        <v>743</v>
      </c>
      <c r="B335" s="1">
        <v>45126</v>
      </c>
      <c r="C335" t="s">
        <v>744</v>
      </c>
      <c r="D335" t="s">
        <v>17</v>
      </c>
      <c r="E335" t="s">
        <v>25</v>
      </c>
      <c r="F335" t="s">
        <v>26</v>
      </c>
      <c r="G335" t="s">
        <v>69</v>
      </c>
      <c r="H335" t="s">
        <v>243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t="s">
        <v>39</v>
      </c>
    </row>
    <row r="336" spans="1:15" x14ac:dyDescent="0.35">
      <c r="A336" t="s">
        <v>745</v>
      </c>
      <c r="B336" s="1">
        <v>45126</v>
      </c>
      <c r="C336" t="s">
        <v>746</v>
      </c>
      <c r="D336" t="s">
        <v>30</v>
      </c>
      <c r="E336" t="s">
        <v>59</v>
      </c>
      <c r="F336" t="s">
        <v>60</v>
      </c>
      <c r="G336" t="s">
        <v>20</v>
      </c>
      <c r="H336" t="s">
        <v>27</v>
      </c>
      <c r="I336">
        <v>10</v>
      </c>
      <c r="J336">
        <v>133.94999999999999</v>
      </c>
      <c r="K336">
        <v>10</v>
      </c>
      <c r="L336">
        <v>1205.55</v>
      </c>
      <c r="M336">
        <v>21.46</v>
      </c>
      <c r="N336">
        <v>447.36</v>
      </c>
      <c r="O336" t="s">
        <v>34</v>
      </c>
    </row>
    <row r="337" spans="1:15" x14ac:dyDescent="0.35">
      <c r="A337" t="s">
        <v>747</v>
      </c>
      <c r="B337" s="1">
        <v>45126</v>
      </c>
      <c r="C337" t="s">
        <v>748</v>
      </c>
      <c r="D337" t="s">
        <v>17</v>
      </c>
      <c r="E337" t="s">
        <v>129</v>
      </c>
      <c r="F337" t="s">
        <v>19</v>
      </c>
      <c r="G337" t="s">
        <v>20</v>
      </c>
      <c r="H337" t="s">
        <v>106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t="s">
        <v>39</v>
      </c>
    </row>
    <row r="338" spans="1:15" x14ac:dyDescent="0.35">
      <c r="A338" t="s">
        <v>749</v>
      </c>
      <c r="B338" s="1">
        <v>45127</v>
      </c>
      <c r="C338" t="s">
        <v>750</v>
      </c>
      <c r="D338" t="s">
        <v>17</v>
      </c>
      <c r="E338" t="s">
        <v>25</v>
      </c>
      <c r="F338" t="s">
        <v>26</v>
      </c>
      <c r="G338" t="s">
        <v>42</v>
      </c>
      <c r="H338" t="s">
        <v>234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t="s">
        <v>22</v>
      </c>
    </row>
    <row r="339" spans="1:15" x14ac:dyDescent="0.35">
      <c r="A339" t="s">
        <v>751</v>
      </c>
      <c r="B339" s="1">
        <v>45127</v>
      </c>
      <c r="C339" t="s">
        <v>752</v>
      </c>
      <c r="D339" t="s">
        <v>30</v>
      </c>
      <c r="E339" t="s">
        <v>121</v>
      </c>
      <c r="F339" t="s">
        <v>68</v>
      </c>
      <c r="G339" t="s">
        <v>20</v>
      </c>
      <c r="H339" t="s">
        <v>27</v>
      </c>
      <c r="I339">
        <v>13</v>
      </c>
      <c r="J339">
        <v>145.33000000000001</v>
      </c>
      <c r="K339">
        <v>5</v>
      </c>
      <c r="L339">
        <v>1794.83</v>
      </c>
      <c r="M339">
        <v>36.04</v>
      </c>
      <c r="N339">
        <v>719.68</v>
      </c>
      <c r="O339" t="s">
        <v>22</v>
      </c>
    </row>
    <row r="340" spans="1:15" x14ac:dyDescent="0.35">
      <c r="A340" t="s">
        <v>753</v>
      </c>
      <c r="B340" s="1">
        <v>45129</v>
      </c>
      <c r="C340" t="s">
        <v>754</v>
      </c>
      <c r="D340" t="s">
        <v>17</v>
      </c>
      <c r="E340" t="s">
        <v>129</v>
      </c>
      <c r="F340" t="s">
        <v>19</v>
      </c>
      <c r="G340" t="s">
        <v>69</v>
      </c>
      <c r="H340" t="s">
        <v>243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t="s">
        <v>39</v>
      </c>
    </row>
    <row r="341" spans="1:15" x14ac:dyDescent="0.35">
      <c r="A341" t="s">
        <v>755</v>
      </c>
      <c r="B341" s="1">
        <v>45129</v>
      </c>
      <c r="C341" t="s">
        <v>756</v>
      </c>
      <c r="D341" t="s">
        <v>30</v>
      </c>
      <c r="E341" t="s">
        <v>121</v>
      </c>
      <c r="F341" t="s">
        <v>68</v>
      </c>
      <c r="G341" t="s">
        <v>69</v>
      </c>
      <c r="H341" t="s">
        <v>163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t="s">
        <v>39</v>
      </c>
    </row>
    <row r="342" spans="1:15" x14ac:dyDescent="0.35">
      <c r="A342" t="s">
        <v>757</v>
      </c>
      <c r="B342" s="1">
        <v>45129</v>
      </c>
      <c r="C342" t="s">
        <v>758</v>
      </c>
      <c r="D342" t="s">
        <v>30</v>
      </c>
      <c r="E342" t="s">
        <v>248</v>
      </c>
      <c r="F342" t="s">
        <v>26</v>
      </c>
      <c r="G342" t="s">
        <v>20</v>
      </c>
      <c r="H342" t="s">
        <v>199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t="s">
        <v>22</v>
      </c>
    </row>
    <row r="343" spans="1:15" x14ac:dyDescent="0.35">
      <c r="A343" t="s">
        <v>759</v>
      </c>
      <c r="B343" s="1">
        <v>45129</v>
      </c>
      <c r="C343" t="s">
        <v>760</v>
      </c>
      <c r="D343" t="s">
        <v>30</v>
      </c>
      <c r="E343" t="s">
        <v>59</v>
      </c>
      <c r="F343" t="s">
        <v>60</v>
      </c>
      <c r="G343" t="s">
        <v>32</v>
      </c>
      <c r="H343" t="s">
        <v>132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t="s">
        <v>56</v>
      </c>
    </row>
    <row r="344" spans="1:15" x14ac:dyDescent="0.35">
      <c r="A344" t="s">
        <v>761</v>
      </c>
      <c r="B344" s="1">
        <v>45131</v>
      </c>
      <c r="C344" t="s">
        <v>762</v>
      </c>
      <c r="D344" t="s">
        <v>30</v>
      </c>
      <c r="E344" t="s">
        <v>53</v>
      </c>
      <c r="F344" t="s">
        <v>54</v>
      </c>
      <c r="G344" t="s">
        <v>42</v>
      </c>
      <c r="H344" t="s">
        <v>234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t="s">
        <v>22</v>
      </c>
    </row>
    <row r="345" spans="1:15" x14ac:dyDescent="0.35">
      <c r="A345" t="s">
        <v>763</v>
      </c>
      <c r="B345" s="1">
        <v>45132</v>
      </c>
      <c r="C345" t="s">
        <v>764</v>
      </c>
      <c r="D345" t="s">
        <v>17</v>
      </c>
      <c r="E345" t="s">
        <v>67</v>
      </c>
      <c r="F345" t="s">
        <v>68</v>
      </c>
      <c r="G345" t="s">
        <v>69</v>
      </c>
      <c r="H345" t="s">
        <v>139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t="s">
        <v>22</v>
      </c>
    </row>
    <row r="346" spans="1:15" x14ac:dyDescent="0.35">
      <c r="A346" t="s">
        <v>765</v>
      </c>
      <c r="B346" s="1">
        <v>45133</v>
      </c>
      <c r="C346" t="s">
        <v>766</v>
      </c>
      <c r="D346" t="s">
        <v>30</v>
      </c>
      <c r="E346" t="s">
        <v>121</v>
      </c>
      <c r="F346" t="s">
        <v>68</v>
      </c>
      <c r="G346" t="s">
        <v>42</v>
      </c>
      <c r="H346" t="s">
        <v>255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t="s">
        <v>22</v>
      </c>
    </row>
    <row r="347" spans="1:15" x14ac:dyDescent="0.35">
      <c r="A347" t="s">
        <v>767</v>
      </c>
      <c r="B347" s="1">
        <v>45133</v>
      </c>
      <c r="C347" t="s">
        <v>768</v>
      </c>
      <c r="D347" t="s">
        <v>17</v>
      </c>
      <c r="E347" t="s">
        <v>18</v>
      </c>
      <c r="F347" t="s">
        <v>19</v>
      </c>
      <c r="G347" t="s">
        <v>20</v>
      </c>
      <c r="H347" t="s">
        <v>175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t="s">
        <v>34</v>
      </c>
    </row>
    <row r="348" spans="1:15" x14ac:dyDescent="0.35">
      <c r="A348" t="s">
        <v>769</v>
      </c>
      <c r="B348" s="1">
        <v>45134</v>
      </c>
      <c r="C348" t="s">
        <v>770</v>
      </c>
      <c r="D348" t="s">
        <v>30</v>
      </c>
      <c r="E348" t="s">
        <v>109</v>
      </c>
      <c r="F348" t="s">
        <v>54</v>
      </c>
      <c r="G348" t="s">
        <v>32</v>
      </c>
      <c r="H348" t="s">
        <v>132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t="s">
        <v>39</v>
      </c>
    </row>
    <row r="349" spans="1:15" x14ac:dyDescent="0.35">
      <c r="A349" t="s">
        <v>771</v>
      </c>
      <c r="B349" s="1">
        <v>45134</v>
      </c>
      <c r="C349" t="s">
        <v>772</v>
      </c>
      <c r="D349" t="s">
        <v>30</v>
      </c>
      <c r="E349" t="s">
        <v>109</v>
      </c>
      <c r="F349" t="s">
        <v>54</v>
      </c>
      <c r="G349" t="s">
        <v>42</v>
      </c>
      <c r="H349" t="s">
        <v>118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t="s">
        <v>39</v>
      </c>
    </row>
    <row r="350" spans="1:15" x14ac:dyDescent="0.35">
      <c r="A350" t="s">
        <v>773</v>
      </c>
      <c r="B350" s="1">
        <v>45135</v>
      </c>
      <c r="C350" t="s">
        <v>774</v>
      </c>
      <c r="D350" t="s">
        <v>17</v>
      </c>
      <c r="E350" t="s">
        <v>63</v>
      </c>
      <c r="F350" t="s">
        <v>54</v>
      </c>
      <c r="G350" t="s">
        <v>32</v>
      </c>
      <c r="H350" t="s">
        <v>73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t="s">
        <v>56</v>
      </c>
    </row>
    <row r="351" spans="1:15" x14ac:dyDescent="0.35">
      <c r="A351" t="s">
        <v>775</v>
      </c>
      <c r="B351" s="1">
        <v>45135</v>
      </c>
      <c r="C351" t="s">
        <v>776</v>
      </c>
      <c r="D351" t="s">
        <v>30</v>
      </c>
      <c r="E351" t="s">
        <v>169</v>
      </c>
      <c r="F351" t="s">
        <v>68</v>
      </c>
      <c r="G351" t="s">
        <v>20</v>
      </c>
      <c r="H351" t="s">
        <v>170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t="s">
        <v>39</v>
      </c>
    </row>
    <row r="352" spans="1:15" x14ac:dyDescent="0.35">
      <c r="A352" t="s">
        <v>777</v>
      </c>
      <c r="B352" s="1">
        <v>45135</v>
      </c>
      <c r="C352" t="s">
        <v>778</v>
      </c>
      <c r="D352" t="s">
        <v>30</v>
      </c>
      <c r="E352" t="s">
        <v>18</v>
      </c>
      <c r="F352" t="s">
        <v>19</v>
      </c>
      <c r="G352" t="s">
        <v>32</v>
      </c>
      <c r="H352" t="s">
        <v>115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t="s">
        <v>39</v>
      </c>
    </row>
    <row r="353" spans="1:15" x14ac:dyDescent="0.35">
      <c r="A353" t="s">
        <v>779</v>
      </c>
      <c r="B353" s="1">
        <v>45136</v>
      </c>
      <c r="C353" t="s">
        <v>780</v>
      </c>
      <c r="D353" t="s">
        <v>17</v>
      </c>
      <c r="E353" t="s">
        <v>18</v>
      </c>
      <c r="F353" t="s">
        <v>19</v>
      </c>
      <c r="G353" t="s">
        <v>32</v>
      </c>
      <c r="H353" t="s">
        <v>82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t="s">
        <v>39</v>
      </c>
    </row>
    <row r="354" spans="1:15" x14ac:dyDescent="0.35">
      <c r="A354" t="s">
        <v>781</v>
      </c>
      <c r="B354" s="1">
        <v>45136</v>
      </c>
      <c r="C354" t="s">
        <v>782</v>
      </c>
      <c r="D354" t="s">
        <v>30</v>
      </c>
      <c r="E354" t="s">
        <v>59</v>
      </c>
      <c r="F354" t="s">
        <v>60</v>
      </c>
      <c r="G354" t="s">
        <v>20</v>
      </c>
      <c r="H354" t="s">
        <v>175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t="s">
        <v>34</v>
      </c>
    </row>
    <row r="355" spans="1:15" x14ac:dyDescent="0.35">
      <c r="A355" t="s">
        <v>783</v>
      </c>
      <c r="B355" s="1">
        <v>45137</v>
      </c>
      <c r="C355" t="s">
        <v>784</v>
      </c>
      <c r="D355" t="s">
        <v>17</v>
      </c>
      <c r="E355" t="s">
        <v>109</v>
      </c>
      <c r="F355" t="s">
        <v>54</v>
      </c>
      <c r="G355" t="s">
        <v>42</v>
      </c>
      <c r="H355" t="s">
        <v>234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t="s">
        <v>56</v>
      </c>
    </row>
    <row r="356" spans="1:15" x14ac:dyDescent="0.35">
      <c r="A356" t="s">
        <v>785</v>
      </c>
      <c r="B356" s="1">
        <v>45138</v>
      </c>
      <c r="C356" t="s">
        <v>786</v>
      </c>
      <c r="D356" t="s">
        <v>17</v>
      </c>
      <c r="E356" t="s">
        <v>148</v>
      </c>
      <c r="F356" t="s">
        <v>60</v>
      </c>
      <c r="G356" t="s">
        <v>20</v>
      </c>
      <c r="H356" t="s">
        <v>175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t="s">
        <v>34</v>
      </c>
    </row>
    <row r="357" spans="1:15" x14ac:dyDescent="0.35">
      <c r="A357" t="s">
        <v>787</v>
      </c>
      <c r="B357" s="1">
        <v>45138</v>
      </c>
      <c r="C357" t="s">
        <v>788</v>
      </c>
      <c r="D357" t="s">
        <v>49</v>
      </c>
      <c r="E357" t="s">
        <v>63</v>
      </c>
      <c r="F357" t="s">
        <v>54</v>
      </c>
      <c r="G357" t="s">
        <v>42</v>
      </c>
      <c r="H357" t="s">
        <v>46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t="s">
        <v>56</v>
      </c>
    </row>
    <row r="358" spans="1:15" x14ac:dyDescent="0.35">
      <c r="A358" t="s">
        <v>789</v>
      </c>
      <c r="B358" s="1">
        <v>45139</v>
      </c>
      <c r="C358" t="s">
        <v>790</v>
      </c>
      <c r="D358" t="s">
        <v>17</v>
      </c>
      <c r="E358" t="s">
        <v>248</v>
      </c>
      <c r="F358" t="s">
        <v>26</v>
      </c>
      <c r="G358" t="s">
        <v>20</v>
      </c>
      <c r="H358" t="s">
        <v>27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t="s">
        <v>34</v>
      </c>
    </row>
    <row r="359" spans="1:15" x14ac:dyDescent="0.35">
      <c r="A359" t="s">
        <v>791</v>
      </c>
      <c r="B359" s="1">
        <v>45139</v>
      </c>
      <c r="C359" t="s">
        <v>375</v>
      </c>
      <c r="D359" t="s">
        <v>17</v>
      </c>
      <c r="E359" t="s">
        <v>169</v>
      </c>
      <c r="F359" t="s">
        <v>68</v>
      </c>
      <c r="G359" t="s">
        <v>42</v>
      </c>
      <c r="H359" t="s">
        <v>64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t="s">
        <v>56</v>
      </c>
    </row>
    <row r="360" spans="1:15" x14ac:dyDescent="0.35">
      <c r="A360" t="s">
        <v>792</v>
      </c>
      <c r="B360" s="1">
        <v>45139</v>
      </c>
      <c r="C360" t="s">
        <v>793</v>
      </c>
      <c r="D360" t="s">
        <v>30</v>
      </c>
      <c r="E360" t="s">
        <v>129</v>
      </c>
      <c r="F360" t="s">
        <v>19</v>
      </c>
      <c r="G360" t="s">
        <v>69</v>
      </c>
      <c r="H360" t="s">
        <v>139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t="s">
        <v>56</v>
      </c>
    </row>
    <row r="361" spans="1:15" x14ac:dyDescent="0.35">
      <c r="A361" t="s">
        <v>794</v>
      </c>
      <c r="B361" s="1">
        <v>45139</v>
      </c>
      <c r="C361" t="s">
        <v>795</v>
      </c>
      <c r="D361" t="s">
        <v>30</v>
      </c>
      <c r="E361" t="s">
        <v>76</v>
      </c>
      <c r="F361" t="s">
        <v>26</v>
      </c>
      <c r="G361" t="s">
        <v>42</v>
      </c>
      <c r="H361" t="s">
        <v>294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t="s">
        <v>39</v>
      </c>
    </row>
    <row r="362" spans="1:15" x14ac:dyDescent="0.35">
      <c r="A362" t="s">
        <v>796</v>
      </c>
      <c r="B362" s="1">
        <v>45140</v>
      </c>
      <c r="C362" t="s">
        <v>797</v>
      </c>
      <c r="D362" t="s">
        <v>49</v>
      </c>
      <c r="E362" t="s">
        <v>85</v>
      </c>
      <c r="F362" t="s">
        <v>60</v>
      </c>
      <c r="G362" t="s">
        <v>32</v>
      </c>
      <c r="H362" t="s">
        <v>82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t="s">
        <v>22</v>
      </c>
    </row>
    <row r="363" spans="1:15" x14ac:dyDescent="0.35">
      <c r="A363" t="s">
        <v>798</v>
      </c>
      <c r="B363" s="1">
        <v>45141</v>
      </c>
      <c r="C363" t="s">
        <v>799</v>
      </c>
      <c r="D363" t="s">
        <v>17</v>
      </c>
      <c r="E363" t="s">
        <v>31</v>
      </c>
      <c r="F363" t="s">
        <v>19</v>
      </c>
      <c r="G363" t="s">
        <v>32</v>
      </c>
      <c r="H363" t="s">
        <v>50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t="s">
        <v>34</v>
      </c>
    </row>
    <row r="364" spans="1:15" x14ac:dyDescent="0.35">
      <c r="A364" t="s">
        <v>800</v>
      </c>
      <c r="B364" s="1">
        <v>45142</v>
      </c>
      <c r="C364" t="s">
        <v>801</v>
      </c>
      <c r="D364" t="s">
        <v>30</v>
      </c>
      <c r="E364" t="s">
        <v>121</v>
      </c>
      <c r="F364" t="s">
        <v>68</v>
      </c>
      <c r="G364" t="s">
        <v>32</v>
      </c>
      <c r="H364" t="s">
        <v>149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t="s">
        <v>39</v>
      </c>
    </row>
    <row r="365" spans="1:15" x14ac:dyDescent="0.35">
      <c r="A365" t="s">
        <v>802</v>
      </c>
      <c r="B365" s="1">
        <v>45142</v>
      </c>
      <c r="C365" t="s">
        <v>803</v>
      </c>
      <c r="D365" t="s">
        <v>30</v>
      </c>
      <c r="E365" t="s">
        <v>63</v>
      </c>
      <c r="F365" t="s">
        <v>54</v>
      </c>
      <c r="G365" t="s">
        <v>42</v>
      </c>
      <c r="H365" t="s">
        <v>64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t="s">
        <v>39</v>
      </c>
    </row>
    <row r="366" spans="1:15" x14ac:dyDescent="0.35">
      <c r="A366" t="s">
        <v>804</v>
      </c>
      <c r="B366" s="1">
        <v>45142</v>
      </c>
      <c r="C366" t="s">
        <v>805</v>
      </c>
      <c r="D366" t="s">
        <v>17</v>
      </c>
      <c r="E366" t="s">
        <v>31</v>
      </c>
      <c r="F366" t="s">
        <v>19</v>
      </c>
      <c r="G366" t="s">
        <v>20</v>
      </c>
      <c r="H366" t="s">
        <v>21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t="s">
        <v>34</v>
      </c>
    </row>
    <row r="367" spans="1:15" x14ac:dyDescent="0.35">
      <c r="A367" t="s">
        <v>806</v>
      </c>
      <c r="B367" s="1">
        <v>45143</v>
      </c>
      <c r="C367" t="s">
        <v>807</v>
      </c>
      <c r="D367" t="s">
        <v>17</v>
      </c>
      <c r="E367" t="s">
        <v>59</v>
      </c>
      <c r="F367" t="s">
        <v>60</v>
      </c>
      <c r="G367" t="s">
        <v>20</v>
      </c>
      <c r="H367" t="s">
        <v>264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t="s">
        <v>39</v>
      </c>
    </row>
    <row r="368" spans="1:15" x14ac:dyDescent="0.35">
      <c r="A368" t="s">
        <v>808</v>
      </c>
      <c r="B368" s="1">
        <v>45143</v>
      </c>
      <c r="C368" t="s">
        <v>809</v>
      </c>
      <c r="D368" t="s">
        <v>17</v>
      </c>
      <c r="E368" t="s">
        <v>85</v>
      </c>
      <c r="F368" t="s">
        <v>60</v>
      </c>
      <c r="G368" t="s">
        <v>32</v>
      </c>
      <c r="H368" t="s">
        <v>149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t="s">
        <v>34</v>
      </c>
    </row>
    <row r="369" spans="1:15" x14ac:dyDescent="0.35">
      <c r="A369" t="s">
        <v>810</v>
      </c>
      <c r="B369" s="1">
        <v>45143</v>
      </c>
      <c r="C369" t="s">
        <v>811</v>
      </c>
      <c r="D369" t="s">
        <v>30</v>
      </c>
      <c r="E369" t="s">
        <v>169</v>
      </c>
      <c r="F369" t="s">
        <v>68</v>
      </c>
      <c r="G369" t="s">
        <v>42</v>
      </c>
      <c r="H369" t="s">
        <v>43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t="s">
        <v>56</v>
      </c>
    </row>
    <row r="370" spans="1:15" x14ac:dyDescent="0.35">
      <c r="A370" t="s">
        <v>812</v>
      </c>
      <c r="B370" s="1">
        <v>45144</v>
      </c>
      <c r="C370" t="s">
        <v>813</v>
      </c>
      <c r="D370" t="s">
        <v>30</v>
      </c>
      <c r="E370" t="s">
        <v>67</v>
      </c>
      <c r="F370" t="s">
        <v>68</v>
      </c>
      <c r="G370" t="s">
        <v>69</v>
      </c>
      <c r="H370" t="s">
        <v>139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t="s">
        <v>34</v>
      </c>
    </row>
    <row r="371" spans="1:15" x14ac:dyDescent="0.35">
      <c r="A371" t="s">
        <v>814</v>
      </c>
      <c r="B371" s="1">
        <v>45144</v>
      </c>
      <c r="C371" t="s">
        <v>815</v>
      </c>
      <c r="D371" t="s">
        <v>17</v>
      </c>
      <c r="E371" t="s">
        <v>138</v>
      </c>
      <c r="F371" t="s">
        <v>54</v>
      </c>
      <c r="G371" t="s">
        <v>32</v>
      </c>
      <c r="H371" t="s">
        <v>115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t="s">
        <v>34</v>
      </c>
    </row>
    <row r="372" spans="1:15" x14ac:dyDescent="0.35">
      <c r="A372" t="s">
        <v>816</v>
      </c>
      <c r="B372" s="1">
        <v>45144</v>
      </c>
      <c r="C372" t="s">
        <v>817</v>
      </c>
      <c r="D372" t="s">
        <v>30</v>
      </c>
      <c r="E372" t="s">
        <v>166</v>
      </c>
      <c r="F372" t="s">
        <v>60</v>
      </c>
      <c r="G372" t="s">
        <v>20</v>
      </c>
      <c r="H372" t="s">
        <v>38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t="s">
        <v>39</v>
      </c>
    </row>
    <row r="373" spans="1:15" x14ac:dyDescent="0.35">
      <c r="A373" t="s">
        <v>818</v>
      </c>
      <c r="B373" s="1">
        <v>45145</v>
      </c>
      <c r="C373" t="s">
        <v>819</v>
      </c>
      <c r="D373" t="s">
        <v>17</v>
      </c>
      <c r="E373" t="s">
        <v>25</v>
      </c>
      <c r="F373" t="s">
        <v>26</v>
      </c>
      <c r="G373" t="s">
        <v>69</v>
      </c>
      <c r="H373" t="s">
        <v>139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t="s">
        <v>56</v>
      </c>
    </row>
    <row r="374" spans="1:15" x14ac:dyDescent="0.35">
      <c r="A374" t="s">
        <v>820</v>
      </c>
      <c r="B374" s="1">
        <v>45146</v>
      </c>
      <c r="C374" t="s">
        <v>821</v>
      </c>
      <c r="D374" t="s">
        <v>30</v>
      </c>
      <c r="E374" t="s">
        <v>31</v>
      </c>
      <c r="F374" t="s">
        <v>19</v>
      </c>
      <c r="G374" t="s">
        <v>20</v>
      </c>
      <c r="H374" t="s">
        <v>27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t="s">
        <v>22</v>
      </c>
    </row>
    <row r="375" spans="1:15" x14ac:dyDescent="0.35">
      <c r="A375" t="s">
        <v>822</v>
      </c>
      <c r="B375" s="1">
        <v>45146</v>
      </c>
      <c r="C375" t="s">
        <v>823</v>
      </c>
      <c r="D375" t="s">
        <v>17</v>
      </c>
      <c r="E375" t="s">
        <v>31</v>
      </c>
      <c r="F375" t="s">
        <v>19</v>
      </c>
      <c r="G375" t="s">
        <v>20</v>
      </c>
      <c r="H375" t="s">
        <v>38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t="s">
        <v>56</v>
      </c>
    </row>
    <row r="376" spans="1:15" x14ac:dyDescent="0.35">
      <c r="A376" t="s">
        <v>824</v>
      </c>
      <c r="B376" s="1">
        <v>45146</v>
      </c>
      <c r="C376" t="s">
        <v>825</v>
      </c>
      <c r="D376" t="s">
        <v>49</v>
      </c>
      <c r="E376" t="s">
        <v>76</v>
      </c>
      <c r="F376" t="s">
        <v>26</v>
      </c>
      <c r="G376" t="s">
        <v>42</v>
      </c>
      <c r="H376" t="s">
        <v>294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t="s">
        <v>39</v>
      </c>
    </row>
    <row r="377" spans="1:15" x14ac:dyDescent="0.35">
      <c r="A377" t="s">
        <v>826</v>
      </c>
      <c r="B377" s="1">
        <v>45147</v>
      </c>
      <c r="C377" t="s">
        <v>827</v>
      </c>
      <c r="D377" t="s">
        <v>30</v>
      </c>
      <c r="E377" t="s">
        <v>248</v>
      </c>
      <c r="F377" t="s">
        <v>26</v>
      </c>
      <c r="G377" t="s">
        <v>69</v>
      </c>
      <c r="H377" t="s">
        <v>86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t="s">
        <v>39</v>
      </c>
    </row>
    <row r="378" spans="1:15" x14ac:dyDescent="0.35">
      <c r="A378" t="s">
        <v>828</v>
      </c>
      <c r="B378" s="1">
        <v>45148</v>
      </c>
      <c r="C378" t="s">
        <v>829</v>
      </c>
      <c r="D378" t="s">
        <v>17</v>
      </c>
      <c r="E378" t="s">
        <v>92</v>
      </c>
      <c r="F378" t="s">
        <v>60</v>
      </c>
      <c r="G378" t="s">
        <v>42</v>
      </c>
      <c r="H378" t="s">
        <v>64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t="s">
        <v>34</v>
      </c>
    </row>
    <row r="379" spans="1:15" x14ac:dyDescent="0.35">
      <c r="A379" t="s">
        <v>830</v>
      </c>
      <c r="B379" s="1">
        <v>45149</v>
      </c>
      <c r="C379" t="s">
        <v>831</v>
      </c>
      <c r="D379" t="s">
        <v>17</v>
      </c>
      <c r="E379" t="s">
        <v>169</v>
      </c>
      <c r="F379" t="s">
        <v>68</v>
      </c>
      <c r="G379" t="s">
        <v>32</v>
      </c>
      <c r="H379" t="s">
        <v>101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t="s">
        <v>34</v>
      </c>
    </row>
    <row r="380" spans="1:15" x14ac:dyDescent="0.35">
      <c r="A380" t="s">
        <v>832</v>
      </c>
      <c r="B380" s="1">
        <v>45149</v>
      </c>
      <c r="C380" t="s">
        <v>833</v>
      </c>
      <c r="D380" t="s">
        <v>30</v>
      </c>
      <c r="E380" t="s">
        <v>135</v>
      </c>
      <c r="F380" t="s">
        <v>26</v>
      </c>
      <c r="G380" t="s">
        <v>32</v>
      </c>
      <c r="H380" t="s">
        <v>33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t="s">
        <v>39</v>
      </c>
    </row>
    <row r="381" spans="1:15" x14ac:dyDescent="0.35">
      <c r="A381" t="s">
        <v>834</v>
      </c>
      <c r="B381" s="1">
        <v>45149</v>
      </c>
      <c r="C381" t="s">
        <v>835</v>
      </c>
      <c r="D381" t="s">
        <v>30</v>
      </c>
      <c r="E381" t="s">
        <v>129</v>
      </c>
      <c r="F381" t="s">
        <v>19</v>
      </c>
      <c r="G381" t="s">
        <v>42</v>
      </c>
      <c r="H381" t="s">
        <v>46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t="s">
        <v>22</v>
      </c>
    </row>
    <row r="382" spans="1:15" x14ac:dyDescent="0.35">
      <c r="A382" t="s">
        <v>836</v>
      </c>
      <c r="B382" s="1">
        <v>45150</v>
      </c>
      <c r="C382" t="s">
        <v>837</v>
      </c>
      <c r="D382" t="s">
        <v>30</v>
      </c>
      <c r="E382" t="s">
        <v>148</v>
      </c>
      <c r="F382" t="s">
        <v>60</v>
      </c>
      <c r="G382" t="s">
        <v>69</v>
      </c>
      <c r="H382" t="s">
        <v>243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t="s">
        <v>34</v>
      </c>
    </row>
    <row r="383" spans="1:15" x14ac:dyDescent="0.35">
      <c r="A383" t="s">
        <v>838</v>
      </c>
      <c r="B383" s="1">
        <v>45150</v>
      </c>
      <c r="C383" t="s">
        <v>839</v>
      </c>
      <c r="D383" t="s">
        <v>30</v>
      </c>
      <c r="E383" t="s">
        <v>92</v>
      </c>
      <c r="F383" t="s">
        <v>60</v>
      </c>
      <c r="G383" t="s">
        <v>20</v>
      </c>
      <c r="H383" t="s">
        <v>55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t="s">
        <v>34</v>
      </c>
    </row>
    <row r="384" spans="1:15" x14ac:dyDescent="0.35">
      <c r="A384" t="s">
        <v>840</v>
      </c>
      <c r="B384" s="1">
        <v>45151</v>
      </c>
      <c r="C384" t="s">
        <v>841</v>
      </c>
      <c r="D384" t="s">
        <v>49</v>
      </c>
      <c r="E384" t="s">
        <v>166</v>
      </c>
      <c r="F384" t="s">
        <v>60</v>
      </c>
      <c r="G384" t="s">
        <v>32</v>
      </c>
      <c r="H384" t="s">
        <v>50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t="s">
        <v>34</v>
      </c>
    </row>
    <row r="385" spans="1:15" x14ac:dyDescent="0.35">
      <c r="A385" t="s">
        <v>842</v>
      </c>
      <c r="B385" s="1">
        <v>45151</v>
      </c>
      <c r="C385" t="s">
        <v>843</v>
      </c>
      <c r="D385" t="s">
        <v>49</v>
      </c>
      <c r="E385" t="s">
        <v>31</v>
      </c>
      <c r="F385" t="s">
        <v>19</v>
      </c>
      <c r="G385" t="s">
        <v>42</v>
      </c>
      <c r="H385" t="s">
        <v>234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t="s">
        <v>34</v>
      </c>
    </row>
    <row r="386" spans="1:15" x14ac:dyDescent="0.35">
      <c r="A386" t="s">
        <v>844</v>
      </c>
      <c r="B386" s="1">
        <v>45152</v>
      </c>
      <c r="C386" t="s">
        <v>845</v>
      </c>
      <c r="D386" t="s">
        <v>17</v>
      </c>
      <c r="E386" t="s">
        <v>18</v>
      </c>
      <c r="F386" t="s">
        <v>19</v>
      </c>
      <c r="G386" t="s">
        <v>69</v>
      </c>
      <c r="H386" t="s">
        <v>79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t="s">
        <v>34</v>
      </c>
    </row>
    <row r="387" spans="1:15" x14ac:dyDescent="0.35">
      <c r="A387" t="s">
        <v>846</v>
      </c>
      <c r="B387" s="1">
        <v>45152</v>
      </c>
      <c r="C387" t="s">
        <v>847</v>
      </c>
      <c r="D387" t="s">
        <v>30</v>
      </c>
      <c r="E387" t="s">
        <v>135</v>
      </c>
      <c r="F387" t="s">
        <v>26</v>
      </c>
      <c r="G387" t="s">
        <v>20</v>
      </c>
      <c r="H387" t="s">
        <v>199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t="s">
        <v>39</v>
      </c>
    </row>
    <row r="388" spans="1:15" x14ac:dyDescent="0.35">
      <c r="A388" t="s">
        <v>848</v>
      </c>
      <c r="B388" s="1">
        <v>45153</v>
      </c>
      <c r="C388" t="s">
        <v>849</v>
      </c>
      <c r="D388" t="s">
        <v>30</v>
      </c>
      <c r="E388" t="s">
        <v>18</v>
      </c>
      <c r="F388" t="s">
        <v>19</v>
      </c>
      <c r="G388" t="s">
        <v>69</v>
      </c>
      <c r="H388" t="s">
        <v>70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t="s">
        <v>34</v>
      </c>
    </row>
    <row r="389" spans="1:15" x14ac:dyDescent="0.35">
      <c r="A389" t="s">
        <v>850</v>
      </c>
      <c r="B389" s="1">
        <v>45153</v>
      </c>
      <c r="C389" t="s">
        <v>851</v>
      </c>
      <c r="D389" t="s">
        <v>49</v>
      </c>
      <c r="E389" t="s">
        <v>129</v>
      </c>
      <c r="F389" t="s">
        <v>19</v>
      </c>
      <c r="G389" t="s">
        <v>32</v>
      </c>
      <c r="H389" t="s">
        <v>132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t="s">
        <v>34</v>
      </c>
    </row>
    <row r="390" spans="1:15" x14ac:dyDescent="0.35">
      <c r="A390" t="s">
        <v>852</v>
      </c>
      <c r="B390" s="1">
        <v>45153</v>
      </c>
      <c r="C390" t="s">
        <v>853</v>
      </c>
      <c r="D390" t="s">
        <v>30</v>
      </c>
      <c r="E390" t="s">
        <v>248</v>
      </c>
      <c r="F390" t="s">
        <v>26</v>
      </c>
      <c r="G390" t="s">
        <v>20</v>
      </c>
      <c r="H390" t="s">
        <v>55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t="s">
        <v>34</v>
      </c>
    </row>
    <row r="391" spans="1:15" x14ac:dyDescent="0.35">
      <c r="A391" t="s">
        <v>854</v>
      </c>
      <c r="B391" s="1">
        <v>45154</v>
      </c>
      <c r="C391" t="s">
        <v>855</v>
      </c>
      <c r="D391" t="s">
        <v>30</v>
      </c>
      <c r="E391" t="s">
        <v>121</v>
      </c>
      <c r="F391" t="s">
        <v>68</v>
      </c>
      <c r="G391" t="s">
        <v>69</v>
      </c>
      <c r="H391" t="s">
        <v>79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t="s">
        <v>39</v>
      </c>
    </row>
    <row r="392" spans="1:15" x14ac:dyDescent="0.35">
      <c r="A392" t="s">
        <v>856</v>
      </c>
      <c r="B392" s="1">
        <v>45154</v>
      </c>
      <c r="C392" t="s">
        <v>857</v>
      </c>
      <c r="D392" t="s">
        <v>49</v>
      </c>
      <c r="E392" t="s">
        <v>31</v>
      </c>
      <c r="F392" t="s">
        <v>19</v>
      </c>
      <c r="G392" t="s">
        <v>69</v>
      </c>
      <c r="H392" t="s">
        <v>86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t="s">
        <v>34</v>
      </c>
    </row>
    <row r="393" spans="1:15" x14ac:dyDescent="0.35">
      <c r="A393" t="s">
        <v>858</v>
      </c>
      <c r="B393" s="1">
        <v>45154</v>
      </c>
      <c r="C393" t="s">
        <v>859</v>
      </c>
      <c r="D393" t="s">
        <v>17</v>
      </c>
      <c r="E393" t="s">
        <v>67</v>
      </c>
      <c r="F393" t="s">
        <v>68</v>
      </c>
      <c r="G393" t="s">
        <v>69</v>
      </c>
      <c r="H393" t="s">
        <v>86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t="s">
        <v>39</v>
      </c>
    </row>
    <row r="394" spans="1:15" x14ac:dyDescent="0.35">
      <c r="A394" t="s">
        <v>860</v>
      </c>
      <c r="B394" s="1">
        <v>45154</v>
      </c>
      <c r="C394" t="s">
        <v>712</v>
      </c>
      <c r="D394" t="s">
        <v>30</v>
      </c>
      <c r="E394" t="s">
        <v>121</v>
      </c>
      <c r="F394" t="s">
        <v>68</v>
      </c>
      <c r="G394" t="s">
        <v>69</v>
      </c>
      <c r="H394" t="s">
        <v>86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t="s">
        <v>22</v>
      </c>
    </row>
    <row r="395" spans="1:15" x14ac:dyDescent="0.35">
      <c r="A395" t="s">
        <v>861</v>
      </c>
      <c r="B395" s="1">
        <v>45155</v>
      </c>
      <c r="C395" t="s">
        <v>862</v>
      </c>
      <c r="D395" t="s">
        <v>17</v>
      </c>
      <c r="E395" t="s">
        <v>129</v>
      </c>
      <c r="F395" t="s">
        <v>19</v>
      </c>
      <c r="G395" t="s">
        <v>32</v>
      </c>
      <c r="H395" t="s">
        <v>101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t="s">
        <v>34</v>
      </c>
    </row>
    <row r="396" spans="1:15" x14ac:dyDescent="0.35">
      <c r="A396" t="s">
        <v>863</v>
      </c>
      <c r="B396" s="1">
        <v>45156</v>
      </c>
      <c r="C396" t="s">
        <v>864</v>
      </c>
      <c r="D396" t="s">
        <v>17</v>
      </c>
      <c r="E396" t="s">
        <v>129</v>
      </c>
      <c r="F396" t="s">
        <v>19</v>
      </c>
      <c r="G396" t="s">
        <v>69</v>
      </c>
      <c r="H396" t="s">
        <v>196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t="s">
        <v>39</v>
      </c>
    </row>
    <row r="397" spans="1:15" x14ac:dyDescent="0.35">
      <c r="A397" t="s">
        <v>865</v>
      </c>
      <c r="B397" s="1">
        <v>45156</v>
      </c>
      <c r="C397" t="s">
        <v>866</v>
      </c>
      <c r="D397" t="s">
        <v>49</v>
      </c>
      <c r="E397" t="s">
        <v>92</v>
      </c>
      <c r="F397" t="s">
        <v>60</v>
      </c>
      <c r="G397" t="s">
        <v>69</v>
      </c>
      <c r="H397" t="s">
        <v>163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t="s">
        <v>56</v>
      </c>
    </row>
    <row r="398" spans="1:15" x14ac:dyDescent="0.35">
      <c r="A398" t="s">
        <v>867</v>
      </c>
      <c r="B398" s="1">
        <v>45157</v>
      </c>
      <c r="C398" t="s">
        <v>868</v>
      </c>
      <c r="D398" t="s">
        <v>17</v>
      </c>
      <c r="E398" t="s">
        <v>53</v>
      </c>
      <c r="F398" t="s">
        <v>54</v>
      </c>
      <c r="G398" t="s">
        <v>20</v>
      </c>
      <c r="H398" t="s">
        <v>199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t="s">
        <v>39</v>
      </c>
    </row>
    <row r="399" spans="1:15" x14ac:dyDescent="0.35">
      <c r="A399" t="s">
        <v>869</v>
      </c>
      <c r="B399" s="1">
        <v>45157</v>
      </c>
      <c r="C399" t="s">
        <v>870</v>
      </c>
      <c r="D399" t="s">
        <v>49</v>
      </c>
      <c r="E399" t="s">
        <v>18</v>
      </c>
      <c r="F399" t="s">
        <v>19</v>
      </c>
      <c r="G399" t="s">
        <v>69</v>
      </c>
      <c r="H399" t="s">
        <v>70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t="s">
        <v>39</v>
      </c>
    </row>
    <row r="400" spans="1:15" x14ac:dyDescent="0.35">
      <c r="A400" t="s">
        <v>871</v>
      </c>
      <c r="B400" s="1">
        <v>45157</v>
      </c>
      <c r="C400" t="s">
        <v>179</v>
      </c>
      <c r="D400" t="s">
        <v>30</v>
      </c>
      <c r="E400" t="s">
        <v>76</v>
      </c>
      <c r="F400" t="s">
        <v>26</v>
      </c>
      <c r="G400" t="s">
        <v>42</v>
      </c>
      <c r="H400" t="s">
        <v>234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t="s">
        <v>22</v>
      </c>
    </row>
    <row r="401" spans="1:15" x14ac:dyDescent="0.35">
      <c r="A401" t="s">
        <v>872</v>
      </c>
      <c r="B401" s="1">
        <v>45157</v>
      </c>
      <c r="C401" t="s">
        <v>873</v>
      </c>
      <c r="D401" t="s">
        <v>30</v>
      </c>
      <c r="E401" t="s">
        <v>31</v>
      </c>
      <c r="F401" t="s">
        <v>19</v>
      </c>
      <c r="G401" t="s">
        <v>32</v>
      </c>
      <c r="H401" t="s">
        <v>33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t="s">
        <v>34</v>
      </c>
    </row>
    <row r="402" spans="1:15" x14ac:dyDescent="0.35">
      <c r="A402" t="s">
        <v>874</v>
      </c>
      <c r="B402" s="1">
        <v>45160</v>
      </c>
      <c r="C402" t="s">
        <v>875</v>
      </c>
      <c r="D402" t="s">
        <v>49</v>
      </c>
      <c r="E402" t="s">
        <v>92</v>
      </c>
      <c r="F402" t="s">
        <v>60</v>
      </c>
      <c r="G402" t="s">
        <v>20</v>
      </c>
      <c r="H402" t="s">
        <v>21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t="s">
        <v>34</v>
      </c>
    </row>
    <row r="403" spans="1:15" x14ac:dyDescent="0.35">
      <c r="A403" t="s">
        <v>876</v>
      </c>
      <c r="B403" s="1">
        <v>45160</v>
      </c>
      <c r="C403" t="s">
        <v>877</v>
      </c>
      <c r="D403" t="s">
        <v>30</v>
      </c>
      <c r="E403" t="s">
        <v>63</v>
      </c>
      <c r="F403" t="s">
        <v>54</v>
      </c>
      <c r="G403" t="s">
        <v>32</v>
      </c>
      <c r="H403" t="s">
        <v>50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t="s">
        <v>39</v>
      </c>
    </row>
    <row r="404" spans="1:15" x14ac:dyDescent="0.35">
      <c r="A404" t="s">
        <v>878</v>
      </c>
      <c r="B404" s="1">
        <v>45160</v>
      </c>
      <c r="C404" t="s">
        <v>879</v>
      </c>
      <c r="D404" t="s">
        <v>17</v>
      </c>
      <c r="E404" t="s">
        <v>37</v>
      </c>
      <c r="F404" t="s">
        <v>26</v>
      </c>
      <c r="G404" t="s">
        <v>32</v>
      </c>
      <c r="H404" t="s">
        <v>132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t="s">
        <v>34</v>
      </c>
    </row>
    <row r="405" spans="1:15" x14ac:dyDescent="0.35">
      <c r="A405" t="s">
        <v>880</v>
      </c>
      <c r="B405" s="1">
        <v>45161</v>
      </c>
      <c r="C405" t="s">
        <v>881</v>
      </c>
      <c r="D405" t="s">
        <v>30</v>
      </c>
      <c r="E405" t="s">
        <v>85</v>
      </c>
      <c r="F405" t="s">
        <v>60</v>
      </c>
      <c r="G405" t="s">
        <v>32</v>
      </c>
      <c r="H405" t="s">
        <v>82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t="s">
        <v>34</v>
      </c>
    </row>
    <row r="406" spans="1:15" x14ac:dyDescent="0.35">
      <c r="A406" t="s">
        <v>882</v>
      </c>
      <c r="B406" s="1">
        <v>45161</v>
      </c>
      <c r="C406" t="s">
        <v>883</v>
      </c>
      <c r="D406" t="s">
        <v>49</v>
      </c>
      <c r="E406" t="s">
        <v>169</v>
      </c>
      <c r="F406" t="s">
        <v>68</v>
      </c>
      <c r="G406" t="s">
        <v>32</v>
      </c>
      <c r="H406" t="s">
        <v>348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t="s">
        <v>34</v>
      </c>
    </row>
    <row r="407" spans="1:15" x14ac:dyDescent="0.35">
      <c r="A407" t="s">
        <v>884</v>
      </c>
      <c r="B407" s="1">
        <v>45161</v>
      </c>
      <c r="C407" t="s">
        <v>885</v>
      </c>
      <c r="D407" t="s">
        <v>49</v>
      </c>
      <c r="E407" t="s">
        <v>37</v>
      </c>
      <c r="F407" t="s">
        <v>26</v>
      </c>
      <c r="G407" t="s">
        <v>20</v>
      </c>
      <c r="H407" t="s">
        <v>21</v>
      </c>
      <c r="I407">
        <v>9</v>
      </c>
      <c r="J407">
        <v>156.74</v>
      </c>
      <c r="K407">
        <v>0</v>
      </c>
      <c r="L407">
        <v>1410.66</v>
      </c>
      <c r="M407">
        <v>15.34</v>
      </c>
      <c r="N407">
        <v>619.46</v>
      </c>
      <c r="O407" t="s">
        <v>39</v>
      </c>
    </row>
    <row r="408" spans="1:15" x14ac:dyDescent="0.35">
      <c r="A408" t="s">
        <v>886</v>
      </c>
      <c r="B408" s="1">
        <v>45161</v>
      </c>
      <c r="C408" t="s">
        <v>302</v>
      </c>
      <c r="D408" t="s">
        <v>30</v>
      </c>
      <c r="E408" t="s">
        <v>169</v>
      </c>
      <c r="F408" t="s">
        <v>68</v>
      </c>
      <c r="G408" t="s">
        <v>42</v>
      </c>
      <c r="H408" t="s">
        <v>64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t="s">
        <v>34</v>
      </c>
    </row>
    <row r="409" spans="1:15" x14ac:dyDescent="0.35">
      <c r="A409" t="s">
        <v>887</v>
      </c>
      <c r="B409" s="1">
        <v>45162</v>
      </c>
      <c r="C409" t="s">
        <v>888</v>
      </c>
      <c r="D409" t="s">
        <v>49</v>
      </c>
      <c r="E409" t="s">
        <v>63</v>
      </c>
      <c r="F409" t="s">
        <v>54</v>
      </c>
      <c r="G409" t="s">
        <v>69</v>
      </c>
      <c r="H409" t="s">
        <v>243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t="s">
        <v>39</v>
      </c>
    </row>
    <row r="410" spans="1:15" x14ac:dyDescent="0.35">
      <c r="A410" t="s">
        <v>889</v>
      </c>
      <c r="B410" s="1">
        <v>45163</v>
      </c>
      <c r="C410" t="s">
        <v>890</v>
      </c>
      <c r="D410" t="s">
        <v>30</v>
      </c>
      <c r="E410" t="s">
        <v>138</v>
      </c>
      <c r="F410" t="s">
        <v>54</v>
      </c>
      <c r="G410" t="s">
        <v>69</v>
      </c>
      <c r="H410" t="s">
        <v>196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t="s">
        <v>39</v>
      </c>
    </row>
    <row r="411" spans="1:15" x14ac:dyDescent="0.35">
      <c r="A411" t="s">
        <v>891</v>
      </c>
      <c r="B411" s="1">
        <v>45163</v>
      </c>
      <c r="C411" t="s">
        <v>892</v>
      </c>
      <c r="D411" t="s">
        <v>17</v>
      </c>
      <c r="E411" t="s">
        <v>37</v>
      </c>
      <c r="F411" t="s">
        <v>26</v>
      </c>
      <c r="G411" t="s">
        <v>69</v>
      </c>
      <c r="H411" t="s">
        <v>98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t="s">
        <v>22</v>
      </c>
    </row>
    <row r="412" spans="1:15" x14ac:dyDescent="0.35">
      <c r="A412" t="s">
        <v>893</v>
      </c>
      <c r="B412" s="1">
        <v>45163</v>
      </c>
      <c r="C412" t="s">
        <v>894</v>
      </c>
      <c r="D412" t="s">
        <v>30</v>
      </c>
      <c r="E412" t="s">
        <v>129</v>
      </c>
      <c r="F412" t="s">
        <v>19</v>
      </c>
      <c r="G412" t="s">
        <v>20</v>
      </c>
      <c r="H412" t="s">
        <v>122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t="s">
        <v>56</v>
      </c>
    </row>
    <row r="413" spans="1:15" x14ac:dyDescent="0.35">
      <c r="A413" t="s">
        <v>895</v>
      </c>
      <c r="B413" s="1">
        <v>45165</v>
      </c>
      <c r="C413" t="s">
        <v>896</v>
      </c>
      <c r="D413" t="s">
        <v>30</v>
      </c>
      <c r="E413" t="s">
        <v>76</v>
      </c>
      <c r="F413" t="s">
        <v>26</v>
      </c>
      <c r="G413" t="s">
        <v>20</v>
      </c>
      <c r="H413" t="s">
        <v>170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t="s">
        <v>39</v>
      </c>
    </row>
    <row r="414" spans="1:15" x14ac:dyDescent="0.35">
      <c r="A414" t="s">
        <v>897</v>
      </c>
      <c r="B414" s="1">
        <v>45165</v>
      </c>
      <c r="C414" t="s">
        <v>629</v>
      </c>
      <c r="D414" t="s">
        <v>17</v>
      </c>
      <c r="E414" t="s">
        <v>129</v>
      </c>
      <c r="F414" t="s">
        <v>19</v>
      </c>
      <c r="G414" t="s">
        <v>42</v>
      </c>
      <c r="H414" t="s">
        <v>89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t="s">
        <v>39</v>
      </c>
    </row>
    <row r="415" spans="1:15" x14ac:dyDescent="0.35">
      <c r="A415" t="s">
        <v>898</v>
      </c>
      <c r="B415" s="1">
        <v>45165</v>
      </c>
      <c r="C415" t="s">
        <v>899</v>
      </c>
      <c r="D415" t="s">
        <v>30</v>
      </c>
      <c r="E415" t="s">
        <v>138</v>
      </c>
      <c r="F415" t="s">
        <v>54</v>
      </c>
      <c r="G415" t="s">
        <v>69</v>
      </c>
      <c r="H415" t="s">
        <v>160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t="s">
        <v>34</v>
      </c>
    </row>
    <row r="416" spans="1:15" x14ac:dyDescent="0.35">
      <c r="A416" t="s">
        <v>900</v>
      </c>
      <c r="B416" s="1">
        <v>45167</v>
      </c>
      <c r="C416" t="s">
        <v>901</v>
      </c>
      <c r="D416" t="s">
        <v>30</v>
      </c>
      <c r="E416" t="s">
        <v>53</v>
      </c>
      <c r="F416" t="s">
        <v>54</v>
      </c>
      <c r="G416" t="s">
        <v>32</v>
      </c>
      <c r="H416" t="s">
        <v>110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t="s">
        <v>39</v>
      </c>
    </row>
    <row r="417" spans="1:15" x14ac:dyDescent="0.35">
      <c r="A417" t="s">
        <v>902</v>
      </c>
      <c r="B417" s="1">
        <v>45167</v>
      </c>
      <c r="C417" t="s">
        <v>903</v>
      </c>
      <c r="D417" t="s">
        <v>30</v>
      </c>
      <c r="E417" t="s">
        <v>59</v>
      </c>
      <c r="F417" t="s">
        <v>60</v>
      </c>
      <c r="G417" t="s">
        <v>69</v>
      </c>
      <c r="H417" t="s">
        <v>163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t="s">
        <v>39</v>
      </c>
    </row>
    <row r="418" spans="1:15" x14ac:dyDescent="0.35">
      <c r="A418" t="s">
        <v>904</v>
      </c>
      <c r="B418" s="1">
        <v>45168</v>
      </c>
      <c r="C418" t="s">
        <v>905</v>
      </c>
      <c r="D418" t="s">
        <v>30</v>
      </c>
      <c r="E418" t="s">
        <v>166</v>
      </c>
      <c r="F418" t="s">
        <v>60</v>
      </c>
      <c r="G418" t="s">
        <v>32</v>
      </c>
      <c r="H418" t="s">
        <v>50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t="s">
        <v>22</v>
      </c>
    </row>
    <row r="419" spans="1:15" x14ac:dyDescent="0.35">
      <c r="A419" t="s">
        <v>906</v>
      </c>
      <c r="B419" s="1">
        <v>45168</v>
      </c>
      <c r="C419" t="s">
        <v>907</v>
      </c>
      <c r="D419" t="s">
        <v>49</v>
      </c>
      <c r="E419" t="s">
        <v>25</v>
      </c>
      <c r="F419" t="s">
        <v>26</v>
      </c>
      <c r="G419" t="s">
        <v>32</v>
      </c>
      <c r="H419" t="s">
        <v>348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t="s">
        <v>22</v>
      </c>
    </row>
    <row r="420" spans="1:15" x14ac:dyDescent="0.35">
      <c r="A420" t="s">
        <v>908</v>
      </c>
      <c r="B420" s="1">
        <v>45168</v>
      </c>
      <c r="C420" t="s">
        <v>909</v>
      </c>
      <c r="D420" t="s">
        <v>30</v>
      </c>
      <c r="E420" t="s">
        <v>148</v>
      </c>
      <c r="F420" t="s">
        <v>60</v>
      </c>
      <c r="G420" t="s">
        <v>20</v>
      </c>
      <c r="H420" t="s">
        <v>264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t="s">
        <v>34</v>
      </c>
    </row>
    <row r="421" spans="1:15" x14ac:dyDescent="0.35">
      <c r="A421" t="s">
        <v>910</v>
      </c>
      <c r="B421" s="1">
        <v>45168</v>
      </c>
      <c r="C421" t="s">
        <v>911</v>
      </c>
      <c r="D421" t="s">
        <v>17</v>
      </c>
      <c r="E421" t="s">
        <v>31</v>
      </c>
      <c r="F421" t="s">
        <v>19</v>
      </c>
      <c r="G421" t="s">
        <v>69</v>
      </c>
      <c r="H421" t="s">
        <v>160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t="s">
        <v>39</v>
      </c>
    </row>
    <row r="422" spans="1:15" x14ac:dyDescent="0.35">
      <c r="A422" t="s">
        <v>912</v>
      </c>
      <c r="B422" s="1">
        <v>45169</v>
      </c>
      <c r="C422" t="s">
        <v>913</v>
      </c>
      <c r="D422" t="s">
        <v>17</v>
      </c>
      <c r="E422" t="s">
        <v>85</v>
      </c>
      <c r="F422" t="s">
        <v>60</v>
      </c>
      <c r="G422" t="s">
        <v>42</v>
      </c>
      <c r="H422" t="s">
        <v>46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t="s">
        <v>34</v>
      </c>
    </row>
    <row r="423" spans="1:15" x14ac:dyDescent="0.35">
      <c r="A423" t="s">
        <v>914</v>
      </c>
      <c r="B423" s="1">
        <v>45169</v>
      </c>
      <c r="C423" t="s">
        <v>639</v>
      </c>
      <c r="D423" t="s">
        <v>30</v>
      </c>
      <c r="E423" t="s">
        <v>31</v>
      </c>
      <c r="F423" t="s">
        <v>19</v>
      </c>
      <c r="G423" t="s">
        <v>32</v>
      </c>
      <c r="H423" t="s">
        <v>33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t="s">
        <v>34</v>
      </c>
    </row>
    <row r="424" spans="1:15" x14ac:dyDescent="0.35">
      <c r="A424" t="s">
        <v>915</v>
      </c>
      <c r="B424" s="1">
        <v>45169</v>
      </c>
      <c r="C424" t="s">
        <v>916</v>
      </c>
      <c r="D424" t="s">
        <v>49</v>
      </c>
      <c r="E424" t="s">
        <v>135</v>
      </c>
      <c r="F424" t="s">
        <v>26</v>
      </c>
      <c r="G424" t="s">
        <v>20</v>
      </c>
      <c r="H424" t="s">
        <v>122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t="s">
        <v>39</v>
      </c>
    </row>
    <row r="425" spans="1:15" x14ac:dyDescent="0.35">
      <c r="A425" t="s">
        <v>917</v>
      </c>
      <c r="B425" s="1">
        <v>45169</v>
      </c>
      <c r="C425" t="s">
        <v>896</v>
      </c>
      <c r="D425" t="s">
        <v>17</v>
      </c>
      <c r="E425" t="s">
        <v>31</v>
      </c>
      <c r="F425" t="s">
        <v>19</v>
      </c>
      <c r="G425" t="s">
        <v>20</v>
      </c>
      <c r="H425" t="s">
        <v>38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t="s">
        <v>39</v>
      </c>
    </row>
    <row r="426" spans="1:15" x14ac:dyDescent="0.35">
      <c r="A426" t="s">
        <v>918</v>
      </c>
      <c r="B426" s="1">
        <v>45169</v>
      </c>
      <c r="C426" t="s">
        <v>919</v>
      </c>
      <c r="D426" t="s">
        <v>17</v>
      </c>
      <c r="E426" t="s">
        <v>109</v>
      </c>
      <c r="F426" t="s">
        <v>54</v>
      </c>
      <c r="G426" t="s">
        <v>20</v>
      </c>
      <c r="H426" t="s">
        <v>175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t="s">
        <v>34</v>
      </c>
    </row>
    <row r="427" spans="1:15" x14ac:dyDescent="0.35">
      <c r="A427" t="s">
        <v>920</v>
      </c>
      <c r="B427" s="1">
        <v>45170</v>
      </c>
      <c r="C427" t="s">
        <v>921</v>
      </c>
      <c r="D427" t="s">
        <v>49</v>
      </c>
      <c r="E427" t="s">
        <v>248</v>
      </c>
      <c r="F427" t="s">
        <v>26</v>
      </c>
      <c r="G427" t="s">
        <v>32</v>
      </c>
      <c r="H427" t="s">
        <v>115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t="s">
        <v>22</v>
      </c>
    </row>
    <row r="428" spans="1:15" x14ac:dyDescent="0.35">
      <c r="A428" t="s">
        <v>922</v>
      </c>
      <c r="B428" s="1">
        <v>45171</v>
      </c>
      <c r="C428" t="s">
        <v>923</v>
      </c>
      <c r="D428" t="s">
        <v>30</v>
      </c>
      <c r="E428" t="s">
        <v>135</v>
      </c>
      <c r="F428" t="s">
        <v>26</v>
      </c>
      <c r="G428" t="s">
        <v>20</v>
      </c>
      <c r="H428" t="s">
        <v>106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t="s">
        <v>34</v>
      </c>
    </row>
    <row r="429" spans="1:15" x14ac:dyDescent="0.35">
      <c r="A429" t="s">
        <v>924</v>
      </c>
      <c r="B429" s="1">
        <v>45172</v>
      </c>
      <c r="C429" t="s">
        <v>925</v>
      </c>
      <c r="D429" t="s">
        <v>30</v>
      </c>
      <c r="E429" t="s">
        <v>18</v>
      </c>
      <c r="F429" t="s">
        <v>19</v>
      </c>
      <c r="G429" t="s">
        <v>69</v>
      </c>
      <c r="H429" t="s">
        <v>160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t="s">
        <v>56</v>
      </c>
    </row>
    <row r="430" spans="1:15" x14ac:dyDescent="0.35">
      <c r="A430" t="s">
        <v>926</v>
      </c>
      <c r="B430" s="1">
        <v>45172</v>
      </c>
      <c r="C430" t="s">
        <v>927</v>
      </c>
      <c r="D430" t="s">
        <v>30</v>
      </c>
      <c r="E430" t="s">
        <v>135</v>
      </c>
      <c r="F430" t="s">
        <v>26</v>
      </c>
      <c r="G430" t="s">
        <v>42</v>
      </c>
      <c r="H430" t="s">
        <v>64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t="s">
        <v>22</v>
      </c>
    </row>
    <row r="431" spans="1:15" x14ac:dyDescent="0.35">
      <c r="A431" t="s">
        <v>928</v>
      </c>
      <c r="B431" s="1">
        <v>45172</v>
      </c>
      <c r="C431" t="s">
        <v>929</v>
      </c>
      <c r="D431" t="s">
        <v>30</v>
      </c>
      <c r="E431" t="s">
        <v>31</v>
      </c>
      <c r="F431" t="s">
        <v>19</v>
      </c>
      <c r="G431" t="s">
        <v>42</v>
      </c>
      <c r="H431" t="s">
        <v>46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t="s">
        <v>34</v>
      </c>
    </row>
    <row r="432" spans="1:15" x14ac:dyDescent="0.35">
      <c r="A432" t="s">
        <v>930</v>
      </c>
      <c r="B432" s="1">
        <v>45173</v>
      </c>
      <c r="C432" t="s">
        <v>931</v>
      </c>
      <c r="D432" t="s">
        <v>49</v>
      </c>
      <c r="E432" t="s">
        <v>92</v>
      </c>
      <c r="F432" t="s">
        <v>60</v>
      </c>
      <c r="G432" t="s">
        <v>32</v>
      </c>
      <c r="H432" t="s">
        <v>348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t="s">
        <v>34</v>
      </c>
    </row>
    <row r="433" spans="1:15" x14ac:dyDescent="0.35">
      <c r="A433" t="s">
        <v>932</v>
      </c>
      <c r="B433" s="1">
        <v>45173</v>
      </c>
      <c r="C433" t="s">
        <v>423</v>
      </c>
      <c r="D433" t="s">
        <v>30</v>
      </c>
      <c r="E433" t="s">
        <v>166</v>
      </c>
      <c r="F433" t="s">
        <v>60</v>
      </c>
      <c r="G433" t="s">
        <v>32</v>
      </c>
      <c r="H433" t="s">
        <v>33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t="s">
        <v>56</v>
      </c>
    </row>
    <row r="434" spans="1:15" x14ac:dyDescent="0.35">
      <c r="A434" t="s">
        <v>933</v>
      </c>
      <c r="B434" s="1">
        <v>45174</v>
      </c>
      <c r="C434" t="s">
        <v>934</v>
      </c>
      <c r="D434" t="s">
        <v>30</v>
      </c>
      <c r="E434" t="s">
        <v>18</v>
      </c>
      <c r="F434" t="s">
        <v>19</v>
      </c>
      <c r="G434" t="s">
        <v>32</v>
      </c>
      <c r="H434" t="s">
        <v>101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t="s">
        <v>22</v>
      </c>
    </row>
    <row r="435" spans="1:15" x14ac:dyDescent="0.35">
      <c r="A435" t="s">
        <v>935</v>
      </c>
      <c r="B435" s="1">
        <v>45174</v>
      </c>
      <c r="C435" t="s">
        <v>750</v>
      </c>
      <c r="D435" t="s">
        <v>30</v>
      </c>
      <c r="E435" t="s">
        <v>76</v>
      </c>
      <c r="F435" t="s">
        <v>26</v>
      </c>
      <c r="G435" t="s">
        <v>69</v>
      </c>
      <c r="H435" t="s">
        <v>196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t="s">
        <v>39</v>
      </c>
    </row>
    <row r="436" spans="1:15" x14ac:dyDescent="0.35">
      <c r="A436" t="s">
        <v>936</v>
      </c>
      <c r="B436" s="1">
        <v>45175</v>
      </c>
      <c r="C436" t="s">
        <v>937</v>
      </c>
      <c r="D436" t="s">
        <v>30</v>
      </c>
      <c r="E436" t="s">
        <v>92</v>
      </c>
      <c r="F436" t="s">
        <v>60</v>
      </c>
      <c r="G436" t="s">
        <v>32</v>
      </c>
      <c r="H436" t="s">
        <v>101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t="s">
        <v>39</v>
      </c>
    </row>
    <row r="437" spans="1:15" x14ac:dyDescent="0.35">
      <c r="A437" t="s">
        <v>938</v>
      </c>
      <c r="B437" s="1">
        <v>45175</v>
      </c>
      <c r="C437" t="s">
        <v>939</v>
      </c>
      <c r="D437" t="s">
        <v>17</v>
      </c>
      <c r="E437" t="s">
        <v>31</v>
      </c>
      <c r="F437" t="s">
        <v>19</v>
      </c>
      <c r="G437" t="s">
        <v>20</v>
      </c>
      <c r="H437" t="s">
        <v>27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t="s">
        <v>34</v>
      </c>
    </row>
    <row r="438" spans="1:15" x14ac:dyDescent="0.35">
      <c r="A438" t="s">
        <v>940</v>
      </c>
      <c r="B438" s="1">
        <v>45175</v>
      </c>
      <c r="C438" t="s">
        <v>542</v>
      </c>
      <c r="D438" t="s">
        <v>30</v>
      </c>
      <c r="E438" t="s">
        <v>138</v>
      </c>
      <c r="F438" t="s">
        <v>54</v>
      </c>
      <c r="G438" t="s">
        <v>20</v>
      </c>
      <c r="H438" t="s">
        <v>106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t="s">
        <v>56</v>
      </c>
    </row>
    <row r="439" spans="1:15" x14ac:dyDescent="0.35">
      <c r="A439" t="s">
        <v>941</v>
      </c>
      <c r="B439" s="1">
        <v>45175</v>
      </c>
      <c r="C439" t="s">
        <v>942</v>
      </c>
      <c r="D439" t="s">
        <v>49</v>
      </c>
      <c r="E439" t="s">
        <v>169</v>
      </c>
      <c r="F439" t="s">
        <v>68</v>
      </c>
      <c r="G439" t="s">
        <v>42</v>
      </c>
      <c r="H439" t="s">
        <v>93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t="s">
        <v>34</v>
      </c>
    </row>
    <row r="440" spans="1:15" x14ac:dyDescent="0.35">
      <c r="A440" t="s">
        <v>943</v>
      </c>
      <c r="B440" s="1">
        <v>45175</v>
      </c>
      <c r="C440" t="s">
        <v>944</v>
      </c>
      <c r="D440" t="s">
        <v>30</v>
      </c>
      <c r="E440" t="s">
        <v>18</v>
      </c>
      <c r="F440" t="s">
        <v>19</v>
      </c>
      <c r="G440" t="s">
        <v>69</v>
      </c>
      <c r="H440" t="s">
        <v>79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t="s">
        <v>34</v>
      </c>
    </row>
    <row r="441" spans="1:15" x14ac:dyDescent="0.35">
      <c r="A441" t="s">
        <v>945</v>
      </c>
      <c r="B441" s="1">
        <v>45176</v>
      </c>
      <c r="C441" t="s">
        <v>946</v>
      </c>
      <c r="D441" t="s">
        <v>49</v>
      </c>
      <c r="E441" t="s">
        <v>85</v>
      </c>
      <c r="F441" t="s">
        <v>60</v>
      </c>
      <c r="G441" t="s">
        <v>20</v>
      </c>
      <c r="H441" t="s">
        <v>170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t="s">
        <v>22</v>
      </c>
    </row>
    <row r="442" spans="1:15" x14ac:dyDescent="0.35">
      <c r="A442" t="s">
        <v>947</v>
      </c>
      <c r="B442" s="1">
        <v>45177</v>
      </c>
      <c r="C442" t="s">
        <v>948</v>
      </c>
      <c r="D442" t="s">
        <v>30</v>
      </c>
      <c r="E442" t="s">
        <v>18</v>
      </c>
      <c r="F442" t="s">
        <v>19</v>
      </c>
      <c r="G442" t="s">
        <v>69</v>
      </c>
      <c r="H442" t="s">
        <v>139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t="s">
        <v>34</v>
      </c>
    </row>
    <row r="443" spans="1:15" x14ac:dyDescent="0.35">
      <c r="A443" t="s">
        <v>949</v>
      </c>
      <c r="B443" s="1">
        <v>45177</v>
      </c>
      <c r="C443" t="s">
        <v>950</v>
      </c>
      <c r="D443" t="s">
        <v>30</v>
      </c>
      <c r="E443" t="s">
        <v>18</v>
      </c>
      <c r="F443" t="s">
        <v>19</v>
      </c>
      <c r="G443" t="s">
        <v>42</v>
      </c>
      <c r="H443" t="s">
        <v>234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t="s">
        <v>34</v>
      </c>
    </row>
    <row r="444" spans="1:15" x14ac:dyDescent="0.35">
      <c r="A444" t="s">
        <v>951</v>
      </c>
      <c r="B444" s="1">
        <v>45177</v>
      </c>
      <c r="C444" t="s">
        <v>952</v>
      </c>
      <c r="D444" t="s">
        <v>49</v>
      </c>
      <c r="E444" t="s">
        <v>92</v>
      </c>
      <c r="F444" t="s">
        <v>60</v>
      </c>
      <c r="G444" t="s">
        <v>32</v>
      </c>
      <c r="H444" t="s">
        <v>73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t="s">
        <v>34</v>
      </c>
    </row>
    <row r="445" spans="1:15" x14ac:dyDescent="0.35">
      <c r="A445" t="s">
        <v>953</v>
      </c>
      <c r="B445" s="1">
        <v>45178</v>
      </c>
      <c r="C445" t="s">
        <v>954</v>
      </c>
      <c r="D445" t="s">
        <v>30</v>
      </c>
      <c r="E445" t="s">
        <v>53</v>
      </c>
      <c r="F445" t="s">
        <v>54</v>
      </c>
      <c r="G445" t="s">
        <v>20</v>
      </c>
      <c r="H445" t="s">
        <v>106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t="s">
        <v>34</v>
      </c>
    </row>
    <row r="446" spans="1:15" x14ac:dyDescent="0.35">
      <c r="A446" t="s">
        <v>955</v>
      </c>
      <c r="B446" s="1">
        <v>45178</v>
      </c>
      <c r="C446" t="s">
        <v>956</v>
      </c>
      <c r="D446" t="s">
        <v>30</v>
      </c>
      <c r="E446" t="s">
        <v>31</v>
      </c>
      <c r="F446" t="s">
        <v>19</v>
      </c>
      <c r="G446" t="s">
        <v>32</v>
      </c>
      <c r="H446" t="s">
        <v>33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t="s">
        <v>39</v>
      </c>
    </row>
    <row r="447" spans="1:15" x14ac:dyDescent="0.35">
      <c r="A447" t="s">
        <v>957</v>
      </c>
      <c r="B447" s="1">
        <v>45179</v>
      </c>
      <c r="C447" t="s">
        <v>958</v>
      </c>
      <c r="D447" t="s">
        <v>17</v>
      </c>
      <c r="E447" t="s">
        <v>31</v>
      </c>
      <c r="F447" t="s">
        <v>19</v>
      </c>
      <c r="G447" t="s">
        <v>20</v>
      </c>
      <c r="H447" t="s">
        <v>21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t="s">
        <v>34</v>
      </c>
    </row>
    <row r="448" spans="1:15" x14ac:dyDescent="0.35">
      <c r="A448" t="s">
        <v>959</v>
      </c>
      <c r="B448" s="1">
        <v>45179</v>
      </c>
      <c r="C448" t="s">
        <v>960</v>
      </c>
      <c r="D448" t="s">
        <v>30</v>
      </c>
      <c r="E448" t="s">
        <v>37</v>
      </c>
      <c r="F448" t="s">
        <v>26</v>
      </c>
      <c r="G448" t="s">
        <v>20</v>
      </c>
      <c r="H448" t="s">
        <v>27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t="s">
        <v>56</v>
      </c>
    </row>
    <row r="449" spans="1:15" x14ac:dyDescent="0.35">
      <c r="A449" t="s">
        <v>961</v>
      </c>
      <c r="B449" s="1">
        <v>45179</v>
      </c>
      <c r="C449" t="s">
        <v>962</v>
      </c>
      <c r="D449" t="s">
        <v>17</v>
      </c>
      <c r="E449" t="s">
        <v>37</v>
      </c>
      <c r="F449" t="s">
        <v>26</v>
      </c>
      <c r="G449" t="s">
        <v>42</v>
      </c>
      <c r="H449" t="s">
        <v>371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t="s">
        <v>22</v>
      </c>
    </row>
    <row r="450" spans="1:15" x14ac:dyDescent="0.35">
      <c r="A450" t="s">
        <v>963</v>
      </c>
      <c r="B450" s="1">
        <v>45180</v>
      </c>
      <c r="C450" t="s">
        <v>964</v>
      </c>
      <c r="D450" t="s">
        <v>30</v>
      </c>
      <c r="E450" t="s">
        <v>59</v>
      </c>
      <c r="F450" t="s">
        <v>60</v>
      </c>
      <c r="G450" t="s">
        <v>20</v>
      </c>
      <c r="H450" t="s">
        <v>264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t="s">
        <v>22</v>
      </c>
    </row>
    <row r="451" spans="1:15" x14ac:dyDescent="0.35">
      <c r="A451" t="s">
        <v>965</v>
      </c>
      <c r="B451" s="1">
        <v>45180</v>
      </c>
      <c r="C451" t="s">
        <v>966</v>
      </c>
      <c r="D451" t="s">
        <v>30</v>
      </c>
      <c r="E451" t="s">
        <v>166</v>
      </c>
      <c r="F451" t="s">
        <v>60</v>
      </c>
      <c r="G451" t="s">
        <v>32</v>
      </c>
      <c r="H451" t="s">
        <v>149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t="s">
        <v>39</v>
      </c>
    </row>
    <row r="452" spans="1:15" x14ac:dyDescent="0.35">
      <c r="A452" t="s">
        <v>967</v>
      </c>
      <c r="B452" s="1">
        <v>45180</v>
      </c>
      <c r="C452" t="s">
        <v>968</v>
      </c>
      <c r="D452" t="s">
        <v>49</v>
      </c>
      <c r="E452" t="s">
        <v>148</v>
      </c>
      <c r="F452" t="s">
        <v>60</v>
      </c>
      <c r="G452" t="s">
        <v>20</v>
      </c>
      <c r="H452" t="s">
        <v>122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t="s">
        <v>34</v>
      </c>
    </row>
    <row r="453" spans="1:15" x14ac:dyDescent="0.35">
      <c r="A453" t="s">
        <v>969</v>
      </c>
      <c r="B453" s="1">
        <v>45182</v>
      </c>
      <c r="C453" t="s">
        <v>970</v>
      </c>
      <c r="D453" t="s">
        <v>17</v>
      </c>
      <c r="E453" t="s">
        <v>18</v>
      </c>
      <c r="F453" t="s">
        <v>19</v>
      </c>
      <c r="G453" t="s">
        <v>42</v>
      </c>
      <c r="H453" t="s">
        <v>294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t="s">
        <v>39</v>
      </c>
    </row>
    <row r="454" spans="1:15" x14ac:dyDescent="0.35">
      <c r="A454" t="s">
        <v>971</v>
      </c>
      <c r="B454" s="1">
        <v>45183</v>
      </c>
      <c r="C454" t="s">
        <v>972</v>
      </c>
      <c r="D454" t="s">
        <v>17</v>
      </c>
      <c r="E454" t="s">
        <v>31</v>
      </c>
      <c r="F454" t="s">
        <v>19</v>
      </c>
      <c r="G454" t="s">
        <v>42</v>
      </c>
      <c r="H454" t="s">
        <v>234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t="s">
        <v>34</v>
      </c>
    </row>
    <row r="455" spans="1:15" x14ac:dyDescent="0.35">
      <c r="A455" t="s">
        <v>973</v>
      </c>
      <c r="B455" s="1">
        <v>45184</v>
      </c>
      <c r="C455" t="s">
        <v>974</v>
      </c>
      <c r="D455" t="s">
        <v>30</v>
      </c>
      <c r="E455" t="s">
        <v>67</v>
      </c>
      <c r="F455" t="s">
        <v>68</v>
      </c>
      <c r="G455" t="s">
        <v>20</v>
      </c>
      <c r="H455" t="s">
        <v>175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t="s">
        <v>34</v>
      </c>
    </row>
    <row r="456" spans="1:15" x14ac:dyDescent="0.35">
      <c r="A456" t="s">
        <v>975</v>
      </c>
      <c r="B456" s="1">
        <v>45185</v>
      </c>
      <c r="C456" t="s">
        <v>976</v>
      </c>
      <c r="D456" t="s">
        <v>30</v>
      </c>
      <c r="E456" t="s">
        <v>31</v>
      </c>
      <c r="F456" t="s">
        <v>19</v>
      </c>
      <c r="G456" t="s">
        <v>42</v>
      </c>
      <c r="H456" t="s">
        <v>64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t="s">
        <v>39</v>
      </c>
    </row>
    <row r="457" spans="1:15" x14ac:dyDescent="0.35">
      <c r="A457" t="s">
        <v>977</v>
      </c>
      <c r="B457" s="1">
        <v>45185</v>
      </c>
      <c r="C457" t="s">
        <v>978</v>
      </c>
      <c r="D457" t="s">
        <v>30</v>
      </c>
      <c r="E457" t="s">
        <v>76</v>
      </c>
      <c r="F457" t="s">
        <v>26</v>
      </c>
      <c r="G457" t="s">
        <v>20</v>
      </c>
      <c r="H457" t="s">
        <v>264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t="s">
        <v>56</v>
      </c>
    </row>
    <row r="458" spans="1:15" x14ac:dyDescent="0.35">
      <c r="A458" t="s">
        <v>979</v>
      </c>
      <c r="B458" s="1">
        <v>45185</v>
      </c>
      <c r="C458" t="s">
        <v>980</v>
      </c>
      <c r="D458" t="s">
        <v>49</v>
      </c>
      <c r="E458" t="s">
        <v>129</v>
      </c>
      <c r="F458" t="s">
        <v>19</v>
      </c>
      <c r="G458" t="s">
        <v>32</v>
      </c>
      <c r="H458" t="s">
        <v>33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t="s">
        <v>56</v>
      </c>
    </row>
    <row r="459" spans="1:15" x14ac:dyDescent="0.35">
      <c r="A459" t="s">
        <v>981</v>
      </c>
      <c r="B459" s="1">
        <v>45186</v>
      </c>
      <c r="C459" t="s">
        <v>607</v>
      </c>
      <c r="D459" t="s">
        <v>17</v>
      </c>
      <c r="E459" t="s">
        <v>18</v>
      </c>
      <c r="F459" t="s">
        <v>19</v>
      </c>
      <c r="G459" t="s">
        <v>69</v>
      </c>
      <c r="H459" t="s">
        <v>86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t="s">
        <v>34</v>
      </c>
    </row>
    <row r="460" spans="1:15" x14ac:dyDescent="0.35">
      <c r="A460" t="s">
        <v>982</v>
      </c>
      <c r="B460" s="1">
        <v>45186</v>
      </c>
      <c r="C460" t="s">
        <v>983</v>
      </c>
      <c r="D460" t="s">
        <v>17</v>
      </c>
      <c r="E460" t="s">
        <v>129</v>
      </c>
      <c r="F460" t="s">
        <v>19</v>
      </c>
      <c r="G460" t="s">
        <v>42</v>
      </c>
      <c r="H460" t="s">
        <v>234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t="s">
        <v>34</v>
      </c>
    </row>
    <row r="461" spans="1:15" x14ac:dyDescent="0.35">
      <c r="A461" t="s">
        <v>984</v>
      </c>
      <c r="B461" s="1">
        <v>45187</v>
      </c>
      <c r="C461" t="s">
        <v>985</v>
      </c>
      <c r="D461" t="s">
        <v>17</v>
      </c>
      <c r="E461" t="s">
        <v>59</v>
      </c>
      <c r="F461" t="s">
        <v>60</v>
      </c>
      <c r="G461" t="s">
        <v>69</v>
      </c>
      <c r="H461" t="s">
        <v>79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t="s">
        <v>39</v>
      </c>
    </row>
    <row r="462" spans="1:15" x14ac:dyDescent="0.35">
      <c r="A462" t="s">
        <v>986</v>
      </c>
      <c r="B462" s="1">
        <v>45188</v>
      </c>
      <c r="C462" t="s">
        <v>987</v>
      </c>
      <c r="D462" t="s">
        <v>49</v>
      </c>
      <c r="E462" t="s">
        <v>18</v>
      </c>
      <c r="F462" t="s">
        <v>19</v>
      </c>
      <c r="G462" t="s">
        <v>32</v>
      </c>
      <c r="H462" t="s">
        <v>115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t="s">
        <v>34</v>
      </c>
    </row>
    <row r="463" spans="1:15" x14ac:dyDescent="0.35">
      <c r="A463" t="s">
        <v>988</v>
      </c>
      <c r="B463" s="1">
        <v>45188</v>
      </c>
      <c r="C463" t="s">
        <v>989</v>
      </c>
      <c r="D463" t="s">
        <v>30</v>
      </c>
      <c r="E463" t="s">
        <v>85</v>
      </c>
      <c r="F463" t="s">
        <v>60</v>
      </c>
      <c r="G463" t="s">
        <v>42</v>
      </c>
      <c r="H463" t="s">
        <v>294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t="s">
        <v>39</v>
      </c>
    </row>
    <row r="464" spans="1:15" x14ac:dyDescent="0.35">
      <c r="A464" t="s">
        <v>990</v>
      </c>
      <c r="B464" s="1">
        <v>45189</v>
      </c>
      <c r="C464" t="s">
        <v>991</v>
      </c>
      <c r="D464" t="s">
        <v>30</v>
      </c>
      <c r="E464" t="s">
        <v>138</v>
      </c>
      <c r="F464" t="s">
        <v>54</v>
      </c>
      <c r="G464" t="s">
        <v>42</v>
      </c>
      <c r="H464" t="s">
        <v>118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t="s">
        <v>56</v>
      </c>
    </row>
    <row r="465" spans="1:15" x14ac:dyDescent="0.35">
      <c r="A465" t="s">
        <v>992</v>
      </c>
      <c r="B465" s="1">
        <v>45190</v>
      </c>
      <c r="C465" t="s">
        <v>993</v>
      </c>
      <c r="D465" t="s">
        <v>30</v>
      </c>
      <c r="E465" t="s">
        <v>121</v>
      </c>
      <c r="F465" t="s">
        <v>68</v>
      </c>
      <c r="G465" t="s">
        <v>42</v>
      </c>
      <c r="H465" t="s">
        <v>46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t="s">
        <v>22</v>
      </c>
    </row>
    <row r="466" spans="1:15" x14ac:dyDescent="0.35">
      <c r="A466" t="s">
        <v>994</v>
      </c>
      <c r="B466" s="1">
        <v>45190</v>
      </c>
      <c r="C466" t="s">
        <v>995</v>
      </c>
      <c r="D466" t="s">
        <v>17</v>
      </c>
      <c r="E466" t="s">
        <v>59</v>
      </c>
      <c r="F466" t="s">
        <v>60</v>
      </c>
      <c r="G466" t="s">
        <v>20</v>
      </c>
      <c r="H466" t="s">
        <v>122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t="s">
        <v>39</v>
      </c>
    </row>
    <row r="467" spans="1:15" x14ac:dyDescent="0.35">
      <c r="A467" t="s">
        <v>996</v>
      </c>
      <c r="B467" s="1">
        <v>45190</v>
      </c>
      <c r="C467" t="s">
        <v>997</v>
      </c>
      <c r="D467" t="s">
        <v>49</v>
      </c>
      <c r="E467" t="s">
        <v>169</v>
      </c>
      <c r="F467" t="s">
        <v>68</v>
      </c>
      <c r="G467" t="s">
        <v>20</v>
      </c>
      <c r="H467" t="s">
        <v>199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t="s">
        <v>34</v>
      </c>
    </row>
    <row r="468" spans="1:15" x14ac:dyDescent="0.35">
      <c r="A468" t="s">
        <v>998</v>
      </c>
      <c r="B468" s="1">
        <v>45192</v>
      </c>
      <c r="C468" t="s">
        <v>999</v>
      </c>
      <c r="D468" t="s">
        <v>17</v>
      </c>
      <c r="E468" t="s">
        <v>25</v>
      </c>
      <c r="F468" t="s">
        <v>26</v>
      </c>
      <c r="G468" t="s">
        <v>32</v>
      </c>
      <c r="H468" t="s">
        <v>149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t="s">
        <v>39</v>
      </c>
    </row>
    <row r="469" spans="1:15" x14ac:dyDescent="0.35">
      <c r="A469" t="s">
        <v>1000</v>
      </c>
      <c r="B469" s="1">
        <v>45193</v>
      </c>
      <c r="C469" t="s">
        <v>1001</v>
      </c>
      <c r="D469" t="s">
        <v>30</v>
      </c>
      <c r="E469" t="s">
        <v>129</v>
      </c>
      <c r="F469" t="s">
        <v>19</v>
      </c>
      <c r="G469" t="s">
        <v>20</v>
      </c>
      <c r="H469" t="s">
        <v>122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t="s">
        <v>22</v>
      </c>
    </row>
    <row r="470" spans="1:15" x14ac:dyDescent="0.35">
      <c r="A470" t="s">
        <v>1002</v>
      </c>
      <c r="B470" s="1">
        <v>45193</v>
      </c>
      <c r="C470" t="s">
        <v>240</v>
      </c>
      <c r="D470" t="s">
        <v>49</v>
      </c>
      <c r="E470" t="s">
        <v>31</v>
      </c>
      <c r="F470" t="s">
        <v>19</v>
      </c>
      <c r="G470" t="s">
        <v>42</v>
      </c>
      <c r="H470" t="s">
        <v>64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t="s">
        <v>34</v>
      </c>
    </row>
    <row r="471" spans="1:15" x14ac:dyDescent="0.35">
      <c r="A471" t="s">
        <v>1003</v>
      </c>
      <c r="B471" s="1">
        <v>45194</v>
      </c>
      <c r="C471" t="s">
        <v>97</v>
      </c>
      <c r="D471" t="s">
        <v>30</v>
      </c>
      <c r="E471" t="s">
        <v>63</v>
      </c>
      <c r="F471" t="s">
        <v>54</v>
      </c>
      <c r="G471" t="s">
        <v>20</v>
      </c>
      <c r="H471" t="s">
        <v>106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t="s">
        <v>34</v>
      </c>
    </row>
    <row r="472" spans="1:15" x14ac:dyDescent="0.35">
      <c r="A472" t="s">
        <v>1004</v>
      </c>
      <c r="B472" s="1">
        <v>45194</v>
      </c>
      <c r="C472" t="s">
        <v>1005</v>
      </c>
      <c r="D472" t="s">
        <v>30</v>
      </c>
      <c r="E472" t="s">
        <v>169</v>
      </c>
      <c r="F472" t="s">
        <v>68</v>
      </c>
      <c r="G472" t="s">
        <v>20</v>
      </c>
      <c r="H472" t="s">
        <v>170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t="s">
        <v>39</v>
      </c>
    </row>
    <row r="473" spans="1:15" x14ac:dyDescent="0.35">
      <c r="A473" t="s">
        <v>1006</v>
      </c>
      <c r="B473" s="1">
        <v>45195</v>
      </c>
      <c r="C473" t="s">
        <v>1007</v>
      </c>
      <c r="D473" t="s">
        <v>30</v>
      </c>
      <c r="E473" t="s">
        <v>129</v>
      </c>
      <c r="F473" t="s">
        <v>19</v>
      </c>
      <c r="G473" t="s">
        <v>69</v>
      </c>
      <c r="H473" t="s">
        <v>70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t="s">
        <v>56</v>
      </c>
    </row>
    <row r="474" spans="1:15" x14ac:dyDescent="0.35">
      <c r="A474" t="s">
        <v>1008</v>
      </c>
      <c r="B474" s="1">
        <v>45195</v>
      </c>
      <c r="C474" t="s">
        <v>1009</v>
      </c>
      <c r="D474" t="s">
        <v>30</v>
      </c>
      <c r="E474" t="s">
        <v>25</v>
      </c>
      <c r="F474" t="s">
        <v>26</v>
      </c>
      <c r="G474" t="s">
        <v>69</v>
      </c>
      <c r="H474" t="s">
        <v>160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t="s">
        <v>22</v>
      </c>
    </row>
    <row r="475" spans="1:15" x14ac:dyDescent="0.35">
      <c r="A475" t="s">
        <v>1010</v>
      </c>
      <c r="B475" s="1">
        <v>45195</v>
      </c>
      <c r="C475" t="s">
        <v>1011</v>
      </c>
      <c r="D475" t="s">
        <v>49</v>
      </c>
      <c r="E475" t="s">
        <v>92</v>
      </c>
      <c r="F475" t="s">
        <v>60</v>
      </c>
      <c r="G475" t="s">
        <v>69</v>
      </c>
      <c r="H475" t="s">
        <v>305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t="s">
        <v>56</v>
      </c>
    </row>
    <row r="476" spans="1:15" x14ac:dyDescent="0.35">
      <c r="A476" t="s">
        <v>1012</v>
      </c>
      <c r="B476" s="1">
        <v>45195</v>
      </c>
      <c r="C476" t="s">
        <v>1013</v>
      </c>
      <c r="D476" t="s">
        <v>49</v>
      </c>
      <c r="E476" t="s">
        <v>248</v>
      </c>
      <c r="F476" t="s">
        <v>26</v>
      </c>
      <c r="G476" t="s">
        <v>20</v>
      </c>
      <c r="H476" t="s">
        <v>55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t="s">
        <v>39</v>
      </c>
    </row>
    <row r="477" spans="1:15" x14ac:dyDescent="0.35">
      <c r="A477" t="s">
        <v>1014</v>
      </c>
      <c r="B477" s="1">
        <v>45196</v>
      </c>
      <c r="C477" t="s">
        <v>1015</v>
      </c>
      <c r="D477" t="s">
        <v>30</v>
      </c>
      <c r="E477" t="s">
        <v>85</v>
      </c>
      <c r="F477" t="s">
        <v>60</v>
      </c>
      <c r="G477" t="s">
        <v>20</v>
      </c>
      <c r="H477" t="s">
        <v>27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t="s">
        <v>39</v>
      </c>
    </row>
    <row r="478" spans="1:15" x14ac:dyDescent="0.35">
      <c r="A478" t="s">
        <v>1016</v>
      </c>
      <c r="B478" s="1">
        <v>45197</v>
      </c>
      <c r="C478" t="s">
        <v>293</v>
      </c>
      <c r="D478" t="s">
        <v>17</v>
      </c>
      <c r="E478" t="s">
        <v>53</v>
      </c>
      <c r="F478" t="s">
        <v>54</v>
      </c>
      <c r="G478" t="s">
        <v>42</v>
      </c>
      <c r="H478" t="s">
        <v>371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t="s">
        <v>22</v>
      </c>
    </row>
    <row r="479" spans="1:15" x14ac:dyDescent="0.35">
      <c r="A479" t="s">
        <v>1017</v>
      </c>
      <c r="B479" s="1">
        <v>45197</v>
      </c>
      <c r="C479" t="s">
        <v>1018</v>
      </c>
      <c r="D479" t="s">
        <v>30</v>
      </c>
      <c r="E479" t="s">
        <v>85</v>
      </c>
      <c r="F479" t="s">
        <v>60</v>
      </c>
      <c r="G479" t="s">
        <v>69</v>
      </c>
      <c r="H479" t="s">
        <v>139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t="s">
        <v>34</v>
      </c>
    </row>
    <row r="480" spans="1:15" x14ac:dyDescent="0.35">
      <c r="A480" t="s">
        <v>1019</v>
      </c>
      <c r="B480" s="1">
        <v>45198</v>
      </c>
      <c r="C480" t="s">
        <v>1020</v>
      </c>
      <c r="D480" t="s">
        <v>17</v>
      </c>
      <c r="E480" t="s">
        <v>25</v>
      </c>
      <c r="F480" t="s">
        <v>26</v>
      </c>
      <c r="G480" t="s">
        <v>32</v>
      </c>
      <c r="H480" t="s">
        <v>82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t="s">
        <v>56</v>
      </c>
    </row>
    <row r="481" spans="1:15" x14ac:dyDescent="0.35">
      <c r="A481" t="s">
        <v>1021</v>
      </c>
      <c r="B481" s="1">
        <v>45198</v>
      </c>
      <c r="C481" t="s">
        <v>1022</v>
      </c>
      <c r="D481" t="s">
        <v>49</v>
      </c>
      <c r="E481" t="s">
        <v>59</v>
      </c>
      <c r="F481" t="s">
        <v>60</v>
      </c>
      <c r="G481" t="s">
        <v>42</v>
      </c>
      <c r="H481" t="s">
        <v>294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t="s">
        <v>34</v>
      </c>
    </row>
    <row r="482" spans="1:15" x14ac:dyDescent="0.35">
      <c r="A482" t="s">
        <v>1023</v>
      </c>
      <c r="B482" s="1">
        <v>45198</v>
      </c>
      <c r="C482" t="s">
        <v>1024</v>
      </c>
      <c r="D482" t="s">
        <v>17</v>
      </c>
      <c r="E482" t="s">
        <v>85</v>
      </c>
      <c r="F482" t="s">
        <v>60</v>
      </c>
      <c r="G482" t="s">
        <v>42</v>
      </c>
      <c r="H482" t="s">
        <v>93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t="s">
        <v>34</v>
      </c>
    </row>
    <row r="483" spans="1:15" x14ac:dyDescent="0.35">
      <c r="A483" t="s">
        <v>1025</v>
      </c>
      <c r="B483" s="1">
        <v>45198</v>
      </c>
      <c r="C483" t="s">
        <v>1026</v>
      </c>
      <c r="D483" t="s">
        <v>49</v>
      </c>
      <c r="E483" t="s">
        <v>53</v>
      </c>
      <c r="F483" t="s">
        <v>54</v>
      </c>
      <c r="G483" t="s">
        <v>20</v>
      </c>
      <c r="H483" t="s">
        <v>175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t="s">
        <v>34</v>
      </c>
    </row>
    <row r="484" spans="1:15" x14ac:dyDescent="0.35">
      <c r="A484" t="s">
        <v>1027</v>
      </c>
      <c r="B484" s="1">
        <v>45199</v>
      </c>
      <c r="C484" t="s">
        <v>1028</v>
      </c>
      <c r="D484" t="s">
        <v>49</v>
      </c>
      <c r="E484" t="s">
        <v>92</v>
      </c>
      <c r="F484" t="s">
        <v>60</v>
      </c>
      <c r="G484" t="s">
        <v>42</v>
      </c>
      <c r="H484" t="s">
        <v>255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t="s">
        <v>22</v>
      </c>
    </row>
    <row r="485" spans="1:15" x14ac:dyDescent="0.35">
      <c r="A485" t="s">
        <v>1029</v>
      </c>
      <c r="B485" s="1">
        <v>45201</v>
      </c>
      <c r="C485" t="s">
        <v>1030</v>
      </c>
      <c r="D485" t="s">
        <v>17</v>
      </c>
      <c r="E485" t="s">
        <v>53</v>
      </c>
      <c r="F485" t="s">
        <v>54</v>
      </c>
      <c r="G485" t="s">
        <v>69</v>
      </c>
      <c r="H485" t="s">
        <v>98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t="s">
        <v>34</v>
      </c>
    </row>
    <row r="486" spans="1:15" x14ac:dyDescent="0.35">
      <c r="A486" t="s">
        <v>1031</v>
      </c>
      <c r="B486" s="1">
        <v>45201</v>
      </c>
      <c r="C486" t="s">
        <v>1032</v>
      </c>
      <c r="D486" t="s">
        <v>17</v>
      </c>
      <c r="E486" t="s">
        <v>109</v>
      </c>
      <c r="F486" t="s">
        <v>54</v>
      </c>
      <c r="G486" t="s">
        <v>42</v>
      </c>
      <c r="H486" t="s">
        <v>371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t="s">
        <v>39</v>
      </c>
    </row>
    <row r="487" spans="1:15" x14ac:dyDescent="0.35">
      <c r="A487" t="s">
        <v>1033</v>
      </c>
      <c r="B487" s="1">
        <v>45201</v>
      </c>
      <c r="C487" t="s">
        <v>1034</v>
      </c>
      <c r="D487" t="s">
        <v>17</v>
      </c>
      <c r="E487" t="s">
        <v>67</v>
      </c>
      <c r="F487" t="s">
        <v>68</v>
      </c>
      <c r="G487" t="s">
        <v>20</v>
      </c>
      <c r="H487" t="s">
        <v>38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t="s">
        <v>34</v>
      </c>
    </row>
    <row r="488" spans="1:15" x14ac:dyDescent="0.35">
      <c r="A488" t="s">
        <v>1035</v>
      </c>
      <c r="B488" s="1">
        <v>45202</v>
      </c>
      <c r="C488" t="s">
        <v>1036</v>
      </c>
      <c r="D488" t="s">
        <v>49</v>
      </c>
      <c r="E488" t="s">
        <v>37</v>
      </c>
      <c r="F488" t="s">
        <v>26</v>
      </c>
      <c r="G488" t="s">
        <v>42</v>
      </c>
      <c r="H488" t="s">
        <v>89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t="s">
        <v>39</v>
      </c>
    </row>
    <row r="489" spans="1:15" x14ac:dyDescent="0.35">
      <c r="A489" t="s">
        <v>1037</v>
      </c>
      <c r="B489" s="1">
        <v>45202</v>
      </c>
      <c r="C489" t="s">
        <v>1038</v>
      </c>
      <c r="D489" t="s">
        <v>30</v>
      </c>
      <c r="E489" t="s">
        <v>85</v>
      </c>
      <c r="F489" t="s">
        <v>60</v>
      </c>
      <c r="G489" t="s">
        <v>42</v>
      </c>
      <c r="H489" t="s">
        <v>93</v>
      </c>
      <c r="I489">
        <v>6</v>
      </c>
      <c r="J489">
        <v>241.8</v>
      </c>
      <c r="K489">
        <v>5</v>
      </c>
      <c r="L489">
        <v>1378.26</v>
      </c>
      <c r="M489">
        <v>22.07</v>
      </c>
      <c r="N489">
        <v>485.71</v>
      </c>
      <c r="O489" t="s">
        <v>22</v>
      </c>
    </row>
    <row r="490" spans="1:15" x14ac:dyDescent="0.35">
      <c r="A490" t="s">
        <v>1039</v>
      </c>
      <c r="B490" s="1">
        <v>45203</v>
      </c>
      <c r="C490" t="s">
        <v>1040</v>
      </c>
      <c r="D490" t="s">
        <v>17</v>
      </c>
      <c r="E490" t="s">
        <v>59</v>
      </c>
      <c r="F490" t="s">
        <v>60</v>
      </c>
      <c r="G490" t="s">
        <v>42</v>
      </c>
      <c r="H490" t="s">
        <v>371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t="s">
        <v>56</v>
      </c>
    </row>
    <row r="491" spans="1:15" x14ac:dyDescent="0.35">
      <c r="A491" t="s">
        <v>1041</v>
      </c>
      <c r="B491" s="1">
        <v>45203</v>
      </c>
      <c r="C491" t="s">
        <v>1042</v>
      </c>
      <c r="D491" t="s">
        <v>30</v>
      </c>
      <c r="E491" t="s">
        <v>67</v>
      </c>
      <c r="F491" t="s">
        <v>68</v>
      </c>
      <c r="G491" t="s">
        <v>20</v>
      </c>
      <c r="H491" t="s">
        <v>170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t="s">
        <v>39</v>
      </c>
    </row>
    <row r="492" spans="1:15" x14ac:dyDescent="0.35">
      <c r="A492" t="s">
        <v>1043</v>
      </c>
      <c r="B492" s="1">
        <v>45203</v>
      </c>
      <c r="C492" t="s">
        <v>1044</v>
      </c>
      <c r="D492" t="s">
        <v>49</v>
      </c>
      <c r="E492" t="s">
        <v>18</v>
      </c>
      <c r="F492" t="s">
        <v>19</v>
      </c>
      <c r="G492" t="s">
        <v>32</v>
      </c>
      <c r="H492" t="s">
        <v>115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t="s">
        <v>39</v>
      </c>
    </row>
    <row r="493" spans="1:15" x14ac:dyDescent="0.35">
      <c r="A493" t="s">
        <v>1045</v>
      </c>
      <c r="B493" s="1">
        <v>45203</v>
      </c>
      <c r="C493" t="s">
        <v>1046</v>
      </c>
      <c r="D493" t="s">
        <v>49</v>
      </c>
      <c r="E493" t="s">
        <v>53</v>
      </c>
      <c r="F493" t="s">
        <v>54</v>
      </c>
      <c r="G493" t="s">
        <v>69</v>
      </c>
      <c r="H493" t="s">
        <v>98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t="s">
        <v>39</v>
      </c>
    </row>
    <row r="494" spans="1:15" x14ac:dyDescent="0.35">
      <c r="A494" t="s">
        <v>1047</v>
      </c>
      <c r="B494" s="1">
        <v>45204</v>
      </c>
      <c r="C494" t="s">
        <v>1048</v>
      </c>
      <c r="D494" t="s">
        <v>17</v>
      </c>
      <c r="E494" t="s">
        <v>169</v>
      </c>
      <c r="F494" t="s">
        <v>68</v>
      </c>
      <c r="G494" t="s">
        <v>69</v>
      </c>
      <c r="H494" t="s">
        <v>305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t="s">
        <v>22</v>
      </c>
    </row>
    <row r="495" spans="1:15" x14ac:dyDescent="0.35">
      <c r="A495" t="s">
        <v>1049</v>
      </c>
      <c r="B495" s="1">
        <v>45204</v>
      </c>
      <c r="C495" t="s">
        <v>1050</v>
      </c>
      <c r="D495" t="s">
        <v>17</v>
      </c>
      <c r="E495" t="s">
        <v>31</v>
      </c>
      <c r="F495" t="s">
        <v>19</v>
      </c>
      <c r="G495" t="s">
        <v>42</v>
      </c>
      <c r="H495" t="s">
        <v>255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t="s">
        <v>34</v>
      </c>
    </row>
    <row r="496" spans="1:15" x14ac:dyDescent="0.35">
      <c r="A496" t="s">
        <v>1051</v>
      </c>
      <c r="B496" s="1">
        <v>45204</v>
      </c>
      <c r="C496" t="s">
        <v>1052</v>
      </c>
      <c r="D496" t="s">
        <v>17</v>
      </c>
      <c r="E496" t="s">
        <v>129</v>
      </c>
      <c r="F496" t="s">
        <v>19</v>
      </c>
      <c r="G496" t="s">
        <v>42</v>
      </c>
      <c r="H496" t="s">
        <v>371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t="s">
        <v>39</v>
      </c>
    </row>
    <row r="497" spans="1:15" x14ac:dyDescent="0.35">
      <c r="A497" t="s">
        <v>1053</v>
      </c>
      <c r="B497" s="1">
        <v>45204</v>
      </c>
      <c r="C497" t="s">
        <v>1054</v>
      </c>
      <c r="D497" t="s">
        <v>30</v>
      </c>
      <c r="E497" t="s">
        <v>169</v>
      </c>
      <c r="F497" t="s">
        <v>68</v>
      </c>
      <c r="G497" t="s">
        <v>32</v>
      </c>
      <c r="H497" t="s">
        <v>115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t="s">
        <v>39</v>
      </c>
    </row>
    <row r="498" spans="1:15" x14ac:dyDescent="0.35">
      <c r="A498" t="s">
        <v>1055</v>
      </c>
      <c r="B498" s="1">
        <v>45204</v>
      </c>
      <c r="C498" t="s">
        <v>1056</v>
      </c>
      <c r="D498" t="s">
        <v>17</v>
      </c>
      <c r="E498" t="s">
        <v>169</v>
      </c>
      <c r="F498" t="s">
        <v>68</v>
      </c>
      <c r="G498" t="s">
        <v>42</v>
      </c>
      <c r="H498" t="s">
        <v>89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t="s">
        <v>56</v>
      </c>
    </row>
    <row r="499" spans="1:15" x14ac:dyDescent="0.35">
      <c r="A499" t="s">
        <v>1057</v>
      </c>
      <c r="B499" s="1">
        <v>45205</v>
      </c>
      <c r="C499" t="s">
        <v>1058</v>
      </c>
      <c r="D499" t="s">
        <v>30</v>
      </c>
      <c r="E499" t="s">
        <v>92</v>
      </c>
      <c r="F499" t="s">
        <v>60</v>
      </c>
      <c r="G499" t="s">
        <v>20</v>
      </c>
      <c r="H499" t="s">
        <v>27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t="s">
        <v>39</v>
      </c>
    </row>
    <row r="500" spans="1:15" x14ac:dyDescent="0.35">
      <c r="A500" t="s">
        <v>1059</v>
      </c>
      <c r="B500" s="1">
        <v>45206</v>
      </c>
      <c r="C500" t="s">
        <v>1060</v>
      </c>
      <c r="D500" t="s">
        <v>49</v>
      </c>
      <c r="E500" t="s">
        <v>109</v>
      </c>
      <c r="F500" t="s">
        <v>54</v>
      </c>
      <c r="G500" t="s">
        <v>32</v>
      </c>
      <c r="H500" t="s">
        <v>110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t="s">
        <v>39</v>
      </c>
    </row>
    <row r="501" spans="1:15" x14ac:dyDescent="0.35">
      <c r="A501" t="s">
        <v>1061</v>
      </c>
      <c r="B501" s="1">
        <v>45207</v>
      </c>
      <c r="C501" t="s">
        <v>1062</v>
      </c>
      <c r="D501" t="s">
        <v>17</v>
      </c>
      <c r="E501" t="s">
        <v>109</v>
      </c>
      <c r="F501" t="s">
        <v>54</v>
      </c>
      <c r="G501" t="s">
        <v>42</v>
      </c>
      <c r="H501" t="s">
        <v>255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t="s">
        <v>34</v>
      </c>
    </row>
    <row r="502" spans="1:15" x14ac:dyDescent="0.35">
      <c r="A502" t="s">
        <v>1063</v>
      </c>
      <c r="B502" s="1">
        <v>45207</v>
      </c>
      <c r="C502" t="s">
        <v>1064</v>
      </c>
      <c r="D502" t="s">
        <v>30</v>
      </c>
      <c r="E502" t="s">
        <v>121</v>
      </c>
      <c r="F502" t="s">
        <v>68</v>
      </c>
      <c r="G502" t="s">
        <v>32</v>
      </c>
      <c r="H502" t="s">
        <v>82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t="s">
        <v>22</v>
      </c>
    </row>
    <row r="503" spans="1:15" x14ac:dyDescent="0.35">
      <c r="A503" t="s">
        <v>1065</v>
      </c>
      <c r="B503" s="1">
        <v>45207</v>
      </c>
      <c r="C503" t="s">
        <v>1066</v>
      </c>
      <c r="D503" t="s">
        <v>49</v>
      </c>
      <c r="E503" t="s">
        <v>76</v>
      </c>
      <c r="F503" t="s">
        <v>26</v>
      </c>
      <c r="G503" t="s">
        <v>69</v>
      </c>
      <c r="H503" t="s">
        <v>163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t="s">
        <v>34</v>
      </c>
    </row>
    <row r="504" spans="1:15" x14ac:dyDescent="0.35">
      <c r="A504" t="s">
        <v>1067</v>
      </c>
      <c r="B504" s="1">
        <v>45207</v>
      </c>
      <c r="C504" t="s">
        <v>1068</v>
      </c>
      <c r="D504" t="s">
        <v>30</v>
      </c>
      <c r="E504" t="s">
        <v>63</v>
      </c>
      <c r="F504" t="s">
        <v>54</v>
      </c>
      <c r="G504" t="s">
        <v>42</v>
      </c>
      <c r="H504" t="s">
        <v>118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t="s">
        <v>39</v>
      </c>
    </row>
    <row r="505" spans="1:15" x14ac:dyDescent="0.35">
      <c r="A505" t="s">
        <v>1069</v>
      </c>
      <c r="B505" s="1">
        <v>45207</v>
      </c>
      <c r="C505" t="s">
        <v>1070</v>
      </c>
      <c r="D505" t="s">
        <v>30</v>
      </c>
      <c r="E505" t="s">
        <v>18</v>
      </c>
      <c r="F505" t="s">
        <v>19</v>
      </c>
      <c r="G505" t="s">
        <v>20</v>
      </c>
      <c r="H505" t="s">
        <v>38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t="s">
        <v>34</v>
      </c>
    </row>
    <row r="506" spans="1:15" x14ac:dyDescent="0.35">
      <c r="A506" t="s">
        <v>1071</v>
      </c>
      <c r="B506" s="1">
        <v>45208</v>
      </c>
      <c r="C506" t="s">
        <v>1072</v>
      </c>
      <c r="D506" t="s">
        <v>49</v>
      </c>
      <c r="E506" t="s">
        <v>169</v>
      </c>
      <c r="F506" t="s">
        <v>68</v>
      </c>
      <c r="G506" t="s">
        <v>42</v>
      </c>
      <c r="H506" t="s">
        <v>43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t="s">
        <v>34</v>
      </c>
    </row>
    <row r="507" spans="1:15" x14ac:dyDescent="0.35">
      <c r="A507" t="s">
        <v>1073</v>
      </c>
      <c r="B507" s="1">
        <v>45208</v>
      </c>
      <c r="C507" t="s">
        <v>1074</v>
      </c>
      <c r="D507" t="s">
        <v>49</v>
      </c>
      <c r="E507" t="s">
        <v>37</v>
      </c>
      <c r="F507" t="s">
        <v>26</v>
      </c>
      <c r="G507" t="s">
        <v>42</v>
      </c>
      <c r="H507" t="s">
        <v>43</v>
      </c>
      <c r="I507">
        <v>11</v>
      </c>
      <c r="J507">
        <v>272.86</v>
      </c>
      <c r="K507">
        <v>10</v>
      </c>
      <c r="L507">
        <v>2701.31</v>
      </c>
      <c r="M507">
        <v>26.06</v>
      </c>
      <c r="N507">
        <v>874.37</v>
      </c>
      <c r="O507" t="s">
        <v>34</v>
      </c>
    </row>
    <row r="508" spans="1:15" x14ac:dyDescent="0.35">
      <c r="A508" t="s">
        <v>1075</v>
      </c>
      <c r="B508" s="1">
        <v>45209</v>
      </c>
      <c r="C508" t="s">
        <v>1076</v>
      </c>
      <c r="D508" t="s">
        <v>17</v>
      </c>
      <c r="E508" t="s">
        <v>135</v>
      </c>
      <c r="F508" t="s">
        <v>26</v>
      </c>
      <c r="G508" t="s">
        <v>69</v>
      </c>
      <c r="H508" t="s">
        <v>305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t="s">
        <v>39</v>
      </c>
    </row>
    <row r="509" spans="1:15" x14ac:dyDescent="0.35">
      <c r="A509" t="s">
        <v>1077</v>
      </c>
      <c r="B509" s="1">
        <v>45209</v>
      </c>
      <c r="C509" t="s">
        <v>1078</v>
      </c>
      <c r="D509" t="s">
        <v>30</v>
      </c>
      <c r="E509" t="s">
        <v>76</v>
      </c>
      <c r="F509" t="s">
        <v>26</v>
      </c>
      <c r="G509" t="s">
        <v>42</v>
      </c>
      <c r="H509" t="s">
        <v>294</v>
      </c>
      <c r="I509">
        <v>5</v>
      </c>
      <c r="J509">
        <v>216.45</v>
      </c>
      <c r="K509">
        <v>0</v>
      </c>
      <c r="L509">
        <v>1082.25</v>
      </c>
      <c r="M509">
        <v>16.23</v>
      </c>
      <c r="N509">
        <v>416.67</v>
      </c>
      <c r="O509" t="s">
        <v>56</v>
      </c>
    </row>
    <row r="510" spans="1:15" x14ac:dyDescent="0.35">
      <c r="A510" t="s">
        <v>1079</v>
      </c>
      <c r="B510" s="1">
        <v>45209</v>
      </c>
      <c r="C510" t="s">
        <v>1080</v>
      </c>
      <c r="D510" t="s">
        <v>30</v>
      </c>
      <c r="E510" t="s">
        <v>92</v>
      </c>
      <c r="F510" t="s">
        <v>60</v>
      </c>
      <c r="G510" t="s">
        <v>42</v>
      </c>
      <c r="H510" t="s">
        <v>46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t="s">
        <v>34</v>
      </c>
    </row>
    <row r="511" spans="1:15" x14ac:dyDescent="0.35">
      <c r="A511" t="s">
        <v>1081</v>
      </c>
      <c r="B511" s="1">
        <v>45209</v>
      </c>
      <c r="C511" t="s">
        <v>1082</v>
      </c>
      <c r="D511" t="s">
        <v>30</v>
      </c>
      <c r="E511" t="s">
        <v>18</v>
      </c>
      <c r="F511" t="s">
        <v>19</v>
      </c>
      <c r="G511" t="s">
        <v>20</v>
      </c>
      <c r="H511" t="s">
        <v>21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t="s">
        <v>39</v>
      </c>
    </row>
    <row r="512" spans="1:15" x14ac:dyDescent="0.35">
      <c r="A512" t="s">
        <v>1083</v>
      </c>
      <c r="B512" s="1">
        <v>45209</v>
      </c>
      <c r="C512" t="s">
        <v>1084</v>
      </c>
      <c r="D512" t="s">
        <v>17</v>
      </c>
      <c r="E512" t="s">
        <v>129</v>
      </c>
      <c r="F512" t="s">
        <v>19</v>
      </c>
      <c r="G512" t="s">
        <v>42</v>
      </c>
      <c r="H512" t="s">
        <v>255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t="s">
        <v>34</v>
      </c>
    </row>
    <row r="513" spans="1:15" x14ac:dyDescent="0.35">
      <c r="A513" t="s">
        <v>1085</v>
      </c>
      <c r="B513" s="1">
        <v>45210</v>
      </c>
      <c r="C513" t="s">
        <v>78</v>
      </c>
      <c r="D513" t="s">
        <v>17</v>
      </c>
      <c r="E513" t="s">
        <v>109</v>
      </c>
      <c r="F513" t="s">
        <v>54</v>
      </c>
      <c r="G513" t="s">
        <v>42</v>
      </c>
      <c r="H513" t="s">
        <v>255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t="s">
        <v>39</v>
      </c>
    </row>
    <row r="514" spans="1:15" x14ac:dyDescent="0.35">
      <c r="A514" t="s">
        <v>1086</v>
      </c>
      <c r="B514" s="1">
        <v>45210</v>
      </c>
      <c r="C514" t="s">
        <v>1087</v>
      </c>
      <c r="D514" t="s">
        <v>30</v>
      </c>
      <c r="E514" t="s">
        <v>248</v>
      </c>
      <c r="F514" t="s">
        <v>26</v>
      </c>
      <c r="G514" t="s">
        <v>32</v>
      </c>
      <c r="H514" t="s">
        <v>82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t="s">
        <v>39</v>
      </c>
    </row>
    <row r="515" spans="1:15" x14ac:dyDescent="0.35">
      <c r="A515" t="s">
        <v>1088</v>
      </c>
      <c r="B515" s="1">
        <v>45210</v>
      </c>
      <c r="C515" t="s">
        <v>496</v>
      </c>
      <c r="D515" t="s">
        <v>17</v>
      </c>
      <c r="E515" t="s">
        <v>129</v>
      </c>
      <c r="F515" t="s">
        <v>19</v>
      </c>
      <c r="G515" t="s">
        <v>20</v>
      </c>
      <c r="H515" t="s">
        <v>175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t="s">
        <v>34</v>
      </c>
    </row>
    <row r="516" spans="1:15" x14ac:dyDescent="0.35">
      <c r="A516" t="s">
        <v>1089</v>
      </c>
      <c r="B516" s="1">
        <v>45212</v>
      </c>
      <c r="C516" t="s">
        <v>1090</v>
      </c>
      <c r="D516" t="s">
        <v>30</v>
      </c>
      <c r="E516" t="s">
        <v>135</v>
      </c>
      <c r="F516" t="s">
        <v>26</v>
      </c>
      <c r="G516" t="s">
        <v>69</v>
      </c>
      <c r="H516" t="s">
        <v>139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t="s">
        <v>34</v>
      </c>
    </row>
    <row r="517" spans="1:15" x14ac:dyDescent="0.35">
      <c r="A517" t="s">
        <v>1091</v>
      </c>
      <c r="B517" s="1">
        <v>45213</v>
      </c>
      <c r="C517" t="s">
        <v>1092</v>
      </c>
      <c r="D517" t="s">
        <v>30</v>
      </c>
      <c r="E517" t="s">
        <v>109</v>
      </c>
      <c r="F517" t="s">
        <v>54</v>
      </c>
      <c r="G517" t="s">
        <v>32</v>
      </c>
      <c r="H517" t="s">
        <v>132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t="s">
        <v>39</v>
      </c>
    </row>
    <row r="518" spans="1:15" x14ac:dyDescent="0.35">
      <c r="A518" t="s">
        <v>1093</v>
      </c>
      <c r="B518" s="1">
        <v>45213</v>
      </c>
      <c r="C518" t="s">
        <v>1094</v>
      </c>
      <c r="D518" t="s">
        <v>30</v>
      </c>
      <c r="E518" t="s">
        <v>148</v>
      </c>
      <c r="F518" t="s">
        <v>60</v>
      </c>
      <c r="G518" t="s">
        <v>32</v>
      </c>
      <c r="H518" t="s">
        <v>82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t="s">
        <v>56</v>
      </c>
    </row>
    <row r="519" spans="1:15" x14ac:dyDescent="0.35">
      <c r="A519" t="s">
        <v>1095</v>
      </c>
      <c r="B519" s="1">
        <v>45214</v>
      </c>
      <c r="C519" t="s">
        <v>1096</v>
      </c>
      <c r="D519" t="s">
        <v>49</v>
      </c>
      <c r="E519" t="s">
        <v>76</v>
      </c>
      <c r="F519" t="s">
        <v>26</v>
      </c>
      <c r="G519" t="s">
        <v>20</v>
      </c>
      <c r="H519" t="s">
        <v>175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t="s">
        <v>34</v>
      </c>
    </row>
    <row r="520" spans="1:15" x14ac:dyDescent="0.35">
      <c r="A520" t="s">
        <v>1097</v>
      </c>
      <c r="B520" s="1">
        <v>45216</v>
      </c>
      <c r="C520" t="s">
        <v>1098</v>
      </c>
      <c r="D520" t="s">
        <v>17</v>
      </c>
      <c r="E520" t="s">
        <v>248</v>
      </c>
      <c r="F520" t="s">
        <v>26</v>
      </c>
      <c r="G520" t="s">
        <v>69</v>
      </c>
      <c r="H520" t="s">
        <v>139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t="s">
        <v>39</v>
      </c>
    </row>
    <row r="521" spans="1:15" x14ac:dyDescent="0.35">
      <c r="A521" t="s">
        <v>1099</v>
      </c>
      <c r="B521" s="1">
        <v>45216</v>
      </c>
      <c r="C521" t="s">
        <v>1100</v>
      </c>
      <c r="D521" t="s">
        <v>17</v>
      </c>
      <c r="E521" t="s">
        <v>138</v>
      </c>
      <c r="F521" t="s">
        <v>54</v>
      </c>
      <c r="G521" t="s">
        <v>32</v>
      </c>
      <c r="H521" t="s">
        <v>33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t="s">
        <v>39</v>
      </c>
    </row>
    <row r="522" spans="1:15" x14ac:dyDescent="0.35">
      <c r="A522" t="s">
        <v>1101</v>
      </c>
      <c r="B522" s="1">
        <v>45216</v>
      </c>
      <c r="C522" t="s">
        <v>1102</v>
      </c>
      <c r="D522" t="s">
        <v>17</v>
      </c>
      <c r="E522" t="s">
        <v>37</v>
      </c>
      <c r="F522" t="s">
        <v>26</v>
      </c>
      <c r="G522" t="s">
        <v>69</v>
      </c>
      <c r="H522" t="s">
        <v>160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t="s">
        <v>56</v>
      </c>
    </row>
    <row r="523" spans="1:15" x14ac:dyDescent="0.35">
      <c r="A523" t="s">
        <v>1103</v>
      </c>
      <c r="B523" s="1">
        <v>45217</v>
      </c>
      <c r="C523" t="s">
        <v>1104</v>
      </c>
      <c r="D523" t="s">
        <v>17</v>
      </c>
      <c r="E523" t="s">
        <v>138</v>
      </c>
      <c r="F523" t="s">
        <v>54</v>
      </c>
      <c r="G523" t="s">
        <v>20</v>
      </c>
      <c r="H523" t="s">
        <v>27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t="s">
        <v>22</v>
      </c>
    </row>
    <row r="524" spans="1:15" x14ac:dyDescent="0.35">
      <c r="A524" t="s">
        <v>1105</v>
      </c>
      <c r="B524" s="1">
        <v>45217</v>
      </c>
      <c r="C524" t="s">
        <v>1106</v>
      </c>
      <c r="D524" t="s">
        <v>49</v>
      </c>
      <c r="E524" t="s">
        <v>63</v>
      </c>
      <c r="F524" t="s">
        <v>54</v>
      </c>
      <c r="G524" t="s">
        <v>69</v>
      </c>
      <c r="H524" t="s">
        <v>163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t="s">
        <v>34</v>
      </c>
    </row>
    <row r="525" spans="1:15" x14ac:dyDescent="0.35">
      <c r="A525" t="s">
        <v>1107</v>
      </c>
      <c r="B525" s="1">
        <v>45217</v>
      </c>
      <c r="C525" t="s">
        <v>325</v>
      </c>
      <c r="D525" t="s">
        <v>30</v>
      </c>
      <c r="E525" t="s">
        <v>148</v>
      </c>
      <c r="F525" t="s">
        <v>60</v>
      </c>
      <c r="G525" t="s">
        <v>20</v>
      </c>
      <c r="H525" t="s">
        <v>106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t="s">
        <v>34</v>
      </c>
    </row>
    <row r="526" spans="1:15" x14ac:dyDescent="0.35">
      <c r="A526" t="s">
        <v>1108</v>
      </c>
      <c r="B526" s="1">
        <v>45219</v>
      </c>
      <c r="C526" t="s">
        <v>1109</v>
      </c>
      <c r="D526" t="s">
        <v>30</v>
      </c>
      <c r="E526" t="s">
        <v>53</v>
      </c>
      <c r="F526" t="s">
        <v>54</v>
      </c>
      <c r="G526" t="s">
        <v>20</v>
      </c>
      <c r="H526" t="s">
        <v>27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t="s">
        <v>39</v>
      </c>
    </row>
    <row r="527" spans="1:15" x14ac:dyDescent="0.35">
      <c r="A527" t="s">
        <v>1110</v>
      </c>
      <c r="B527" s="1">
        <v>45219</v>
      </c>
      <c r="C527" t="s">
        <v>1111</v>
      </c>
      <c r="D527" t="s">
        <v>17</v>
      </c>
      <c r="E527" t="s">
        <v>59</v>
      </c>
      <c r="F527" t="s">
        <v>60</v>
      </c>
      <c r="G527" t="s">
        <v>20</v>
      </c>
      <c r="H527" t="s">
        <v>175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t="s">
        <v>39</v>
      </c>
    </row>
    <row r="528" spans="1:15" x14ac:dyDescent="0.35">
      <c r="A528" t="s">
        <v>1112</v>
      </c>
      <c r="B528" s="1">
        <v>45219</v>
      </c>
      <c r="C528" t="s">
        <v>1113</v>
      </c>
      <c r="D528" t="s">
        <v>17</v>
      </c>
      <c r="E528" t="s">
        <v>25</v>
      </c>
      <c r="F528" t="s">
        <v>26</v>
      </c>
      <c r="G528" t="s">
        <v>32</v>
      </c>
      <c r="H528" t="s">
        <v>82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t="s">
        <v>34</v>
      </c>
    </row>
    <row r="529" spans="1:15" x14ac:dyDescent="0.35">
      <c r="A529" t="s">
        <v>1114</v>
      </c>
      <c r="B529" s="1">
        <v>45219</v>
      </c>
      <c r="C529" t="s">
        <v>1115</v>
      </c>
      <c r="D529" t="s">
        <v>17</v>
      </c>
      <c r="E529" t="s">
        <v>37</v>
      </c>
      <c r="F529" t="s">
        <v>26</v>
      </c>
      <c r="G529" t="s">
        <v>20</v>
      </c>
      <c r="H529" t="s">
        <v>199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t="s">
        <v>34</v>
      </c>
    </row>
    <row r="530" spans="1:15" x14ac:dyDescent="0.35">
      <c r="A530" t="s">
        <v>1116</v>
      </c>
      <c r="B530" s="1">
        <v>45219</v>
      </c>
      <c r="C530" t="s">
        <v>807</v>
      </c>
      <c r="D530" t="s">
        <v>17</v>
      </c>
      <c r="E530" t="s">
        <v>18</v>
      </c>
      <c r="F530" t="s">
        <v>19</v>
      </c>
      <c r="G530" t="s">
        <v>42</v>
      </c>
      <c r="H530" t="s">
        <v>64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t="s">
        <v>34</v>
      </c>
    </row>
    <row r="531" spans="1:15" x14ac:dyDescent="0.35">
      <c r="A531" t="s">
        <v>1117</v>
      </c>
      <c r="B531" s="1">
        <v>45219</v>
      </c>
      <c r="C531" t="s">
        <v>1118</v>
      </c>
      <c r="D531" t="s">
        <v>17</v>
      </c>
      <c r="E531" t="s">
        <v>85</v>
      </c>
      <c r="F531" t="s">
        <v>60</v>
      </c>
      <c r="G531" t="s">
        <v>69</v>
      </c>
      <c r="H531" t="s">
        <v>79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t="s">
        <v>22</v>
      </c>
    </row>
    <row r="532" spans="1:15" x14ac:dyDescent="0.35">
      <c r="A532" t="s">
        <v>1119</v>
      </c>
      <c r="B532" s="1">
        <v>45220</v>
      </c>
      <c r="C532" t="s">
        <v>1120</v>
      </c>
      <c r="D532" t="s">
        <v>17</v>
      </c>
      <c r="E532" t="s">
        <v>85</v>
      </c>
      <c r="F532" t="s">
        <v>60</v>
      </c>
      <c r="G532" t="s">
        <v>42</v>
      </c>
      <c r="H532" t="s">
        <v>64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t="s">
        <v>34</v>
      </c>
    </row>
    <row r="533" spans="1:15" x14ac:dyDescent="0.35">
      <c r="A533" t="s">
        <v>1121</v>
      </c>
      <c r="B533" s="1">
        <v>45221</v>
      </c>
      <c r="C533" t="s">
        <v>238</v>
      </c>
      <c r="D533" t="s">
        <v>49</v>
      </c>
      <c r="E533" t="s">
        <v>248</v>
      </c>
      <c r="F533" t="s">
        <v>26</v>
      </c>
      <c r="G533" t="s">
        <v>20</v>
      </c>
      <c r="H533" t="s">
        <v>55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t="s">
        <v>22</v>
      </c>
    </row>
    <row r="534" spans="1:15" x14ac:dyDescent="0.35">
      <c r="A534" t="s">
        <v>1122</v>
      </c>
      <c r="B534" s="1">
        <v>45221</v>
      </c>
      <c r="C534" t="s">
        <v>724</v>
      </c>
      <c r="D534" t="s">
        <v>30</v>
      </c>
      <c r="E534" t="s">
        <v>129</v>
      </c>
      <c r="F534" t="s">
        <v>19</v>
      </c>
      <c r="G534" t="s">
        <v>32</v>
      </c>
      <c r="H534" t="s">
        <v>50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t="s">
        <v>34</v>
      </c>
    </row>
    <row r="535" spans="1:15" x14ac:dyDescent="0.35">
      <c r="A535" t="s">
        <v>1123</v>
      </c>
      <c r="B535" s="1">
        <v>45222</v>
      </c>
      <c r="C535" t="s">
        <v>1115</v>
      </c>
      <c r="D535" t="s">
        <v>17</v>
      </c>
      <c r="E535" t="s">
        <v>121</v>
      </c>
      <c r="F535" t="s">
        <v>68</v>
      </c>
      <c r="G535" t="s">
        <v>42</v>
      </c>
      <c r="H535" t="s">
        <v>371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t="s">
        <v>34</v>
      </c>
    </row>
    <row r="536" spans="1:15" x14ac:dyDescent="0.35">
      <c r="A536" t="s">
        <v>1124</v>
      </c>
      <c r="B536" s="1">
        <v>45222</v>
      </c>
      <c r="C536" t="s">
        <v>141</v>
      </c>
      <c r="D536" t="s">
        <v>30</v>
      </c>
      <c r="E536" t="s">
        <v>85</v>
      </c>
      <c r="F536" t="s">
        <v>60</v>
      </c>
      <c r="G536" t="s">
        <v>20</v>
      </c>
      <c r="H536" t="s">
        <v>122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t="s">
        <v>39</v>
      </c>
    </row>
    <row r="537" spans="1:15" x14ac:dyDescent="0.35">
      <c r="A537" t="s">
        <v>1125</v>
      </c>
      <c r="B537" s="1">
        <v>45222</v>
      </c>
      <c r="C537" t="s">
        <v>1126</v>
      </c>
      <c r="D537" t="s">
        <v>17</v>
      </c>
      <c r="E537" t="s">
        <v>121</v>
      </c>
      <c r="F537" t="s">
        <v>68</v>
      </c>
      <c r="G537" t="s">
        <v>32</v>
      </c>
      <c r="H537" t="s">
        <v>33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t="s">
        <v>34</v>
      </c>
    </row>
    <row r="538" spans="1:15" x14ac:dyDescent="0.35">
      <c r="A538" t="s">
        <v>1127</v>
      </c>
      <c r="B538" s="1">
        <v>45223</v>
      </c>
      <c r="C538" t="s">
        <v>1050</v>
      </c>
      <c r="D538" t="s">
        <v>30</v>
      </c>
      <c r="E538" t="s">
        <v>31</v>
      </c>
      <c r="F538" t="s">
        <v>19</v>
      </c>
      <c r="G538" t="s">
        <v>69</v>
      </c>
      <c r="H538" t="s">
        <v>98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t="s">
        <v>34</v>
      </c>
    </row>
    <row r="539" spans="1:15" x14ac:dyDescent="0.35">
      <c r="A539" t="s">
        <v>1128</v>
      </c>
      <c r="B539" s="1">
        <v>45223</v>
      </c>
      <c r="C539" t="s">
        <v>1129</v>
      </c>
      <c r="D539" t="s">
        <v>49</v>
      </c>
      <c r="E539" t="s">
        <v>59</v>
      </c>
      <c r="F539" t="s">
        <v>60</v>
      </c>
      <c r="G539" t="s">
        <v>20</v>
      </c>
      <c r="H539" t="s">
        <v>264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t="s">
        <v>56</v>
      </c>
    </row>
    <row r="540" spans="1:15" x14ac:dyDescent="0.35">
      <c r="A540" t="s">
        <v>1130</v>
      </c>
      <c r="B540" s="1">
        <v>45223</v>
      </c>
      <c r="C540" t="s">
        <v>1131</v>
      </c>
      <c r="D540" t="s">
        <v>17</v>
      </c>
      <c r="E540" t="s">
        <v>129</v>
      </c>
      <c r="F540" t="s">
        <v>19</v>
      </c>
      <c r="G540" t="s">
        <v>20</v>
      </c>
      <c r="H540" t="s">
        <v>175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t="s">
        <v>39</v>
      </c>
    </row>
    <row r="541" spans="1:15" x14ac:dyDescent="0.35">
      <c r="A541" t="s">
        <v>1132</v>
      </c>
      <c r="B541" s="1">
        <v>45224</v>
      </c>
      <c r="C541" t="s">
        <v>1133</v>
      </c>
      <c r="D541" t="s">
        <v>30</v>
      </c>
      <c r="E541" t="s">
        <v>67</v>
      </c>
      <c r="F541" t="s">
        <v>68</v>
      </c>
      <c r="G541" t="s">
        <v>32</v>
      </c>
      <c r="H541" t="s">
        <v>82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t="s">
        <v>22</v>
      </c>
    </row>
    <row r="542" spans="1:15" x14ac:dyDescent="0.35">
      <c r="A542" t="s">
        <v>1134</v>
      </c>
      <c r="B542" s="1">
        <v>45225</v>
      </c>
      <c r="C542" t="s">
        <v>1135</v>
      </c>
      <c r="D542" t="s">
        <v>49</v>
      </c>
      <c r="E542" t="s">
        <v>92</v>
      </c>
      <c r="F542" t="s">
        <v>60</v>
      </c>
      <c r="G542" t="s">
        <v>42</v>
      </c>
      <c r="H542" t="s">
        <v>371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t="s">
        <v>34</v>
      </c>
    </row>
    <row r="543" spans="1:15" x14ac:dyDescent="0.35">
      <c r="A543" t="s">
        <v>1136</v>
      </c>
      <c r="B543" s="1">
        <v>45225</v>
      </c>
      <c r="C543" t="s">
        <v>1137</v>
      </c>
      <c r="D543" t="s">
        <v>17</v>
      </c>
      <c r="E543" t="s">
        <v>37</v>
      </c>
      <c r="F543" t="s">
        <v>26</v>
      </c>
      <c r="G543" t="s">
        <v>20</v>
      </c>
      <c r="H543" t="s">
        <v>122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t="s">
        <v>39</v>
      </c>
    </row>
    <row r="544" spans="1:15" x14ac:dyDescent="0.35">
      <c r="A544" t="s">
        <v>1138</v>
      </c>
      <c r="B544" s="1">
        <v>45226</v>
      </c>
      <c r="C544" t="s">
        <v>1139</v>
      </c>
      <c r="D544" t="s">
        <v>17</v>
      </c>
      <c r="E544" t="s">
        <v>135</v>
      </c>
      <c r="F544" t="s">
        <v>26</v>
      </c>
      <c r="G544" t="s">
        <v>32</v>
      </c>
      <c r="H544" t="s">
        <v>348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t="s">
        <v>34</v>
      </c>
    </row>
    <row r="545" spans="1:15" x14ac:dyDescent="0.35">
      <c r="A545" t="s">
        <v>1140</v>
      </c>
      <c r="B545" s="1">
        <v>45227</v>
      </c>
      <c r="C545" t="s">
        <v>1141</v>
      </c>
      <c r="D545" t="s">
        <v>30</v>
      </c>
      <c r="E545" t="s">
        <v>169</v>
      </c>
      <c r="F545" t="s">
        <v>68</v>
      </c>
      <c r="G545" t="s">
        <v>42</v>
      </c>
      <c r="H545" t="s">
        <v>294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t="s">
        <v>34</v>
      </c>
    </row>
    <row r="546" spans="1:15" x14ac:dyDescent="0.35">
      <c r="A546" t="s">
        <v>1142</v>
      </c>
      <c r="B546" s="1">
        <v>45227</v>
      </c>
      <c r="C546" t="s">
        <v>1143</v>
      </c>
      <c r="D546" t="s">
        <v>49</v>
      </c>
      <c r="E546" t="s">
        <v>129</v>
      </c>
      <c r="F546" t="s">
        <v>19</v>
      </c>
      <c r="G546" t="s">
        <v>20</v>
      </c>
      <c r="H546" t="s">
        <v>106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t="s">
        <v>39</v>
      </c>
    </row>
    <row r="547" spans="1:15" x14ac:dyDescent="0.35">
      <c r="A547" t="s">
        <v>1144</v>
      </c>
      <c r="B547" s="1">
        <v>45228</v>
      </c>
      <c r="C547" t="s">
        <v>1030</v>
      </c>
      <c r="D547" t="s">
        <v>49</v>
      </c>
      <c r="E547" t="s">
        <v>148</v>
      </c>
      <c r="F547" t="s">
        <v>60</v>
      </c>
      <c r="G547" t="s">
        <v>32</v>
      </c>
      <c r="H547" t="s">
        <v>348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t="s">
        <v>39</v>
      </c>
    </row>
    <row r="548" spans="1:15" x14ac:dyDescent="0.35">
      <c r="A548" t="s">
        <v>1145</v>
      </c>
      <c r="B548" s="1">
        <v>45231</v>
      </c>
      <c r="C548" t="s">
        <v>1146</v>
      </c>
      <c r="D548" t="s">
        <v>17</v>
      </c>
      <c r="E548" t="s">
        <v>59</v>
      </c>
      <c r="F548" t="s">
        <v>60</v>
      </c>
      <c r="G548" t="s">
        <v>20</v>
      </c>
      <c r="H548" t="s">
        <v>170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t="s">
        <v>34</v>
      </c>
    </row>
    <row r="549" spans="1:15" x14ac:dyDescent="0.35">
      <c r="A549" t="s">
        <v>1147</v>
      </c>
      <c r="B549" s="1">
        <v>45231</v>
      </c>
      <c r="C549" t="s">
        <v>1148</v>
      </c>
      <c r="D549" t="s">
        <v>49</v>
      </c>
      <c r="E549" t="s">
        <v>53</v>
      </c>
      <c r="F549" t="s">
        <v>54</v>
      </c>
      <c r="G549" t="s">
        <v>20</v>
      </c>
      <c r="H549" t="s">
        <v>175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t="s">
        <v>34</v>
      </c>
    </row>
    <row r="550" spans="1:15" x14ac:dyDescent="0.35">
      <c r="A550" t="s">
        <v>1149</v>
      </c>
      <c r="B550" s="1">
        <v>45231</v>
      </c>
      <c r="C550" t="s">
        <v>1150</v>
      </c>
      <c r="D550" t="s">
        <v>30</v>
      </c>
      <c r="E550" t="s">
        <v>76</v>
      </c>
      <c r="F550" t="s">
        <v>26</v>
      </c>
      <c r="G550" t="s">
        <v>20</v>
      </c>
      <c r="H550" t="s">
        <v>122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t="s">
        <v>56</v>
      </c>
    </row>
    <row r="551" spans="1:15" x14ac:dyDescent="0.35">
      <c r="A551" t="s">
        <v>1151</v>
      </c>
      <c r="B551" s="1">
        <v>45232</v>
      </c>
      <c r="C551" t="s">
        <v>1152</v>
      </c>
      <c r="D551" t="s">
        <v>17</v>
      </c>
      <c r="E551" t="s">
        <v>59</v>
      </c>
      <c r="F551" t="s">
        <v>60</v>
      </c>
      <c r="G551" t="s">
        <v>69</v>
      </c>
      <c r="H551" t="s">
        <v>139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t="s">
        <v>39</v>
      </c>
    </row>
    <row r="552" spans="1:15" x14ac:dyDescent="0.35">
      <c r="A552" t="s">
        <v>1153</v>
      </c>
      <c r="B552" s="1">
        <v>45232</v>
      </c>
      <c r="C552" t="s">
        <v>1154</v>
      </c>
      <c r="D552" t="s">
        <v>30</v>
      </c>
      <c r="E552" t="s">
        <v>248</v>
      </c>
      <c r="F552" t="s">
        <v>26</v>
      </c>
      <c r="G552" t="s">
        <v>20</v>
      </c>
      <c r="H552" t="s">
        <v>38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t="s">
        <v>56</v>
      </c>
    </row>
    <row r="553" spans="1:15" x14ac:dyDescent="0.35">
      <c r="A553" t="s">
        <v>1155</v>
      </c>
      <c r="B553" s="1">
        <v>45232</v>
      </c>
      <c r="C553" t="s">
        <v>1156</v>
      </c>
      <c r="D553" t="s">
        <v>49</v>
      </c>
      <c r="E553" t="s">
        <v>92</v>
      </c>
      <c r="F553" t="s">
        <v>60</v>
      </c>
      <c r="G553" t="s">
        <v>42</v>
      </c>
      <c r="H553" t="s">
        <v>93</v>
      </c>
      <c r="I553">
        <v>6</v>
      </c>
      <c r="J553">
        <v>302.02999999999997</v>
      </c>
      <c r="K553">
        <v>20</v>
      </c>
      <c r="L553">
        <v>1449.74</v>
      </c>
      <c r="M553">
        <v>13.81</v>
      </c>
      <c r="N553">
        <v>348.62</v>
      </c>
      <c r="O553" t="s">
        <v>22</v>
      </c>
    </row>
    <row r="554" spans="1:15" x14ac:dyDescent="0.35">
      <c r="A554" t="s">
        <v>1157</v>
      </c>
      <c r="B554" s="1">
        <v>45232</v>
      </c>
      <c r="C554" t="s">
        <v>1158</v>
      </c>
      <c r="D554" t="s">
        <v>30</v>
      </c>
      <c r="E554" t="s">
        <v>166</v>
      </c>
      <c r="F554" t="s">
        <v>60</v>
      </c>
      <c r="G554" t="s">
        <v>20</v>
      </c>
      <c r="H554" t="s">
        <v>175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t="s">
        <v>22</v>
      </c>
    </row>
    <row r="555" spans="1:15" x14ac:dyDescent="0.35">
      <c r="A555" t="s">
        <v>1159</v>
      </c>
      <c r="B555" s="1">
        <v>45232</v>
      </c>
      <c r="C555" t="s">
        <v>1160</v>
      </c>
      <c r="D555" t="s">
        <v>30</v>
      </c>
      <c r="E555" t="s">
        <v>138</v>
      </c>
      <c r="F555" t="s">
        <v>54</v>
      </c>
      <c r="G555" t="s">
        <v>32</v>
      </c>
      <c r="H555" t="s">
        <v>33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t="s">
        <v>39</v>
      </c>
    </row>
    <row r="556" spans="1:15" x14ac:dyDescent="0.35">
      <c r="A556" t="s">
        <v>1161</v>
      </c>
      <c r="B556" s="1">
        <v>45233</v>
      </c>
      <c r="C556" t="s">
        <v>1162</v>
      </c>
      <c r="D556" t="s">
        <v>30</v>
      </c>
      <c r="E556" t="s">
        <v>121</v>
      </c>
      <c r="F556" t="s">
        <v>68</v>
      </c>
      <c r="G556" t="s">
        <v>20</v>
      </c>
      <c r="H556" t="s">
        <v>38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t="s">
        <v>34</v>
      </c>
    </row>
    <row r="557" spans="1:15" x14ac:dyDescent="0.35">
      <c r="A557" t="s">
        <v>1163</v>
      </c>
      <c r="B557" s="1">
        <v>45233</v>
      </c>
      <c r="C557" t="s">
        <v>1164</v>
      </c>
      <c r="D557" t="s">
        <v>30</v>
      </c>
      <c r="E557" t="s">
        <v>248</v>
      </c>
      <c r="F557" t="s">
        <v>26</v>
      </c>
      <c r="G557" t="s">
        <v>20</v>
      </c>
      <c r="H557" t="s">
        <v>199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t="s">
        <v>22</v>
      </c>
    </row>
    <row r="558" spans="1:15" x14ac:dyDescent="0.35">
      <c r="A558" t="s">
        <v>1165</v>
      </c>
      <c r="B558" s="1">
        <v>45235</v>
      </c>
      <c r="C558" t="s">
        <v>1166</v>
      </c>
      <c r="D558" t="s">
        <v>30</v>
      </c>
      <c r="E558" t="s">
        <v>135</v>
      </c>
      <c r="F558" t="s">
        <v>26</v>
      </c>
      <c r="G558" t="s">
        <v>32</v>
      </c>
      <c r="H558" t="s">
        <v>73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t="s">
        <v>39</v>
      </c>
    </row>
    <row r="559" spans="1:15" x14ac:dyDescent="0.35">
      <c r="A559" t="s">
        <v>1167</v>
      </c>
      <c r="B559" s="1">
        <v>45236</v>
      </c>
      <c r="C559" t="s">
        <v>553</v>
      </c>
      <c r="D559" t="s">
        <v>30</v>
      </c>
      <c r="E559" t="s">
        <v>67</v>
      </c>
      <c r="F559" t="s">
        <v>68</v>
      </c>
      <c r="G559" t="s">
        <v>69</v>
      </c>
      <c r="H559" t="s">
        <v>70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t="s">
        <v>34</v>
      </c>
    </row>
    <row r="560" spans="1:15" x14ac:dyDescent="0.35">
      <c r="A560" t="s">
        <v>1168</v>
      </c>
      <c r="B560" s="1">
        <v>45236</v>
      </c>
      <c r="C560" t="s">
        <v>1169</v>
      </c>
      <c r="D560" t="s">
        <v>17</v>
      </c>
      <c r="E560" t="s">
        <v>59</v>
      </c>
      <c r="F560" t="s">
        <v>60</v>
      </c>
      <c r="G560" t="s">
        <v>42</v>
      </c>
      <c r="H560" t="s">
        <v>64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t="s">
        <v>34</v>
      </c>
    </row>
    <row r="561" spans="1:15" x14ac:dyDescent="0.35">
      <c r="A561" t="s">
        <v>1170</v>
      </c>
      <c r="B561" s="1">
        <v>45237</v>
      </c>
      <c r="C561" t="s">
        <v>1171</v>
      </c>
      <c r="D561" t="s">
        <v>17</v>
      </c>
      <c r="E561" t="s">
        <v>135</v>
      </c>
      <c r="F561" t="s">
        <v>26</v>
      </c>
      <c r="G561" t="s">
        <v>42</v>
      </c>
      <c r="H561" t="s">
        <v>64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t="s">
        <v>56</v>
      </c>
    </row>
    <row r="562" spans="1:15" x14ac:dyDescent="0.35">
      <c r="A562" t="s">
        <v>1172</v>
      </c>
      <c r="B562" s="1">
        <v>45237</v>
      </c>
      <c r="C562" t="s">
        <v>1173</v>
      </c>
      <c r="D562" t="s">
        <v>49</v>
      </c>
      <c r="E562" t="s">
        <v>85</v>
      </c>
      <c r="F562" t="s">
        <v>60</v>
      </c>
      <c r="G562" t="s">
        <v>32</v>
      </c>
      <c r="H562" t="s">
        <v>101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t="s">
        <v>34</v>
      </c>
    </row>
    <row r="563" spans="1:15" x14ac:dyDescent="0.35">
      <c r="A563" t="s">
        <v>1174</v>
      </c>
      <c r="B563" s="1">
        <v>45239</v>
      </c>
      <c r="C563" t="s">
        <v>1175</v>
      </c>
      <c r="D563" t="s">
        <v>30</v>
      </c>
      <c r="E563" t="s">
        <v>18</v>
      </c>
      <c r="F563" t="s">
        <v>19</v>
      </c>
      <c r="G563" t="s">
        <v>20</v>
      </c>
      <c r="H563" t="s">
        <v>264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t="s">
        <v>56</v>
      </c>
    </row>
    <row r="564" spans="1:15" x14ac:dyDescent="0.35">
      <c r="A564" t="s">
        <v>1176</v>
      </c>
      <c r="B564" s="1">
        <v>45239</v>
      </c>
      <c r="C564" t="s">
        <v>1177</v>
      </c>
      <c r="D564" t="s">
        <v>30</v>
      </c>
      <c r="E564" t="s">
        <v>59</v>
      </c>
      <c r="F564" t="s">
        <v>60</v>
      </c>
      <c r="G564" t="s">
        <v>42</v>
      </c>
      <c r="H564" t="s">
        <v>46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t="s">
        <v>39</v>
      </c>
    </row>
    <row r="565" spans="1:15" x14ac:dyDescent="0.35">
      <c r="A565" t="s">
        <v>1178</v>
      </c>
      <c r="B565" s="1">
        <v>45240</v>
      </c>
      <c r="C565" t="s">
        <v>1179</v>
      </c>
      <c r="D565" t="s">
        <v>30</v>
      </c>
      <c r="E565" t="s">
        <v>18</v>
      </c>
      <c r="F565" t="s">
        <v>19</v>
      </c>
      <c r="G565" t="s">
        <v>20</v>
      </c>
      <c r="H565" t="s">
        <v>199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t="s">
        <v>34</v>
      </c>
    </row>
    <row r="566" spans="1:15" x14ac:dyDescent="0.35">
      <c r="A566" t="s">
        <v>1180</v>
      </c>
      <c r="B566" s="1">
        <v>45242</v>
      </c>
      <c r="C566" t="s">
        <v>1181</v>
      </c>
      <c r="D566" t="s">
        <v>30</v>
      </c>
      <c r="E566" t="s">
        <v>129</v>
      </c>
      <c r="F566" t="s">
        <v>19</v>
      </c>
      <c r="G566" t="s">
        <v>42</v>
      </c>
      <c r="H566" t="s">
        <v>46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t="s">
        <v>34</v>
      </c>
    </row>
    <row r="567" spans="1:15" x14ac:dyDescent="0.35">
      <c r="A567" t="s">
        <v>1182</v>
      </c>
      <c r="B567" s="1">
        <v>45242</v>
      </c>
      <c r="C567" t="s">
        <v>851</v>
      </c>
      <c r="D567" t="s">
        <v>30</v>
      </c>
      <c r="E567" t="s">
        <v>166</v>
      </c>
      <c r="F567" t="s">
        <v>60</v>
      </c>
      <c r="G567" t="s">
        <v>69</v>
      </c>
      <c r="H567" t="s">
        <v>196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t="s">
        <v>56</v>
      </c>
    </row>
    <row r="568" spans="1:15" x14ac:dyDescent="0.35">
      <c r="A568" t="s">
        <v>1183</v>
      </c>
      <c r="B568" s="1">
        <v>45243</v>
      </c>
      <c r="C568" t="s">
        <v>1184</v>
      </c>
      <c r="D568" t="s">
        <v>17</v>
      </c>
      <c r="E568" t="s">
        <v>148</v>
      </c>
      <c r="F568" t="s">
        <v>60</v>
      </c>
      <c r="G568" t="s">
        <v>20</v>
      </c>
      <c r="H568" t="s">
        <v>264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t="s">
        <v>34</v>
      </c>
    </row>
    <row r="569" spans="1:15" x14ac:dyDescent="0.35">
      <c r="A569" t="s">
        <v>1185</v>
      </c>
      <c r="B569" s="1">
        <v>45243</v>
      </c>
      <c r="C569" t="s">
        <v>1186</v>
      </c>
      <c r="D569" t="s">
        <v>17</v>
      </c>
      <c r="E569" t="s">
        <v>135</v>
      </c>
      <c r="F569" t="s">
        <v>26</v>
      </c>
      <c r="G569" t="s">
        <v>42</v>
      </c>
      <c r="H569" t="s">
        <v>234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t="s">
        <v>34</v>
      </c>
    </row>
    <row r="570" spans="1:15" x14ac:dyDescent="0.35">
      <c r="A570" t="s">
        <v>1187</v>
      </c>
      <c r="B570" s="1">
        <v>45244</v>
      </c>
      <c r="C570" t="s">
        <v>1188</v>
      </c>
      <c r="D570" t="s">
        <v>17</v>
      </c>
      <c r="E570" t="s">
        <v>25</v>
      </c>
      <c r="F570" t="s">
        <v>26</v>
      </c>
      <c r="G570" t="s">
        <v>42</v>
      </c>
      <c r="H570" t="s">
        <v>43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t="s">
        <v>22</v>
      </c>
    </row>
    <row r="571" spans="1:15" x14ac:dyDescent="0.35">
      <c r="A571" t="s">
        <v>1189</v>
      </c>
      <c r="B571" s="1">
        <v>45245</v>
      </c>
      <c r="C571" t="s">
        <v>1190</v>
      </c>
      <c r="D571" t="s">
        <v>17</v>
      </c>
      <c r="E571" t="s">
        <v>129</v>
      </c>
      <c r="F571" t="s">
        <v>19</v>
      </c>
      <c r="G571" t="s">
        <v>20</v>
      </c>
      <c r="H571" t="s">
        <v>106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t="s">
        <v>34</v>
      </c>
    </row>
    <row r="572" spans="1:15" x14ac:dyDescent="0.35">
      <c r="A572" t="s">
        <v>1191</v>
      </c>
      <c r="B572" s="1">
        <v>45245</v>
      </c>
      <c r="C572" t="s">
        <v>1192</v>
      </c>
      <c r="D572" t="s">
        <v>30</v>
      </c>
      <c r="E572" t="s">
        <v>121</v>
      </c>
      <c r="F572" t="s">
        <v>68</v>
      </c>
      <c r="G572" t="s">
        <v>32</v>
      </c>
      <c r="H572" t="s">
        <v>50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t="s">
        <v>34</v>
      </c>
    </row>
    <row r="573" spans="1:15" x14ac:dyDescent="0.35">
      <c r="A573" t="s">
        <v>1193</v>
      </c>
      <c r="B573" s="1">
        <v>45248</v>
      </c>
      <c r="C573" t="s">
        <v>857</v>
      </c>
      <c r="D573" t="s">
        <v>30</v>
      </c>
      <c r="E573" t="s">
        <v>129</v>
      </c>
      <c r="F573" t="s">
        <v>19</v>
      </c>
      <c r="G573" t="s">
        <v>32</v>
      </c>
      <c r="H573" t="s">
        <v>348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t="s">
        <v>34</v>
      </c>
    </row>
    <row r="574" spans="1:15" x14ac:dyDescent="0.35">
      <c r="A574" t="s">
        <v>1194</v>
      </c>
      <c r="B574" s="1">
        <v>45248</v>
      </c>
      <c r="C574" t="s">
        <v>1195</v>
      </c>
      <c r="D574" t="s">
        <v>17</v>
      </c>
      <c r="E574" t="s">
        <v>92</v>
      </c>
      <c r="F574" t="s">
        <v>60</v>
      </c>
      <c r="G574" t="s">
        <v>20</v>
      </c>
      <c r="H574" t="s">
        <v>55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t="s">
        <v>39</v>
      </c>
    </row>
    <row r="575" spans="1:15" x14ac:dyDescent="0.35">
      <c r="A575" t="s">
        <v>1196</v>
      </c>
      <c r="B575" s="1">
        <v>45249</v>
      </c>
      <c r="C575" t="s">
        <v>1197</v>
      </c>
      <c r="D575" t="s">
        <v>17</v>
      </c>
      <c r="E575" t="s">
        <v>129</v>
      </c>
      <c r="F575" t="s">
        <v>19</v>
      </c>
      <c r="G575" t="s">
        <v>32</v>
      </c>
      <c r="H575" t="s">
        <v>101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t="s">
        <v>39</v>
      </c>
    </row>
    <row r="576" spans="1:15" x14ac:dyDescent="0.35">
      <c r="A576" t="s">
        <v>1198</v>
      </c>
      <c r="B576" s="1">
        <v>45250</v>
      </c>
      <c r="C576" t="s">
        <v>1199</v>
      </c>
      <c r="D576" t="s">
        <v>30</v>
      </c>
      <c r="E576" t="s">
        <v>59</v>
      </c>
      <c r="F576" t="s">
        <v>60</v>
      </c>
      <c r="G576" t="s">
        <v>32</v>
      </c>
      <c r="H576" t="s">
        <v>115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t="s">
        <v>39</v>
      </c>
    </row>
    <row r="577" spans="1:15" x14ac:dyDescent="0.35">
      <c r="A577" t="s">
        <v>1200</v>
      </c>
      <c r="B577" s="1">
        <v>45250</v>
      </c>
      <c r="C577" t="s">
        <v>1201</v>
      </c>
      <c r="D577" t="s">
        <v>30</v>
      </c>
      <c r="E577" t="s">
        <v>67</v>
      </c>
      <c r="F577" t="s">
        <v>68</v>
      </c>
      <c r="G577" t="s">
        <v>20</v>
      </c>
      <c r="H577" t="s">
        <v>175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t="s">
        <v>56</v>
      </c>
    </row>
    <row r="578" spans="1:15" x14ac:dyDescent="0.35">
      <c r="A578" t="s">
        <v>1202</v>
      </c>
      <c r="B578" s="1">
        <v>45251</v>
      </c>
      <c r="C578" t="s">
        <v>1203</v>
      </c>
      <c r="D578" t="s">
        <v>30</v>
      </c>
      <c r="E578" t="s">
        <v>121</v>
      </c>
      <c r="F578" t="s">
        <v>68</v>
      </c>
      <c r="G578" t="s">
        <v>32</v>
      </c>
      <c r="H578" t="s">
        <v>50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t="s">
        <v>34</v>
      </c>
    </row>
    <row r="579" spans="1:15" x14ac:dyDescent="0.35">
      <c r="A579" t="s">
        <v>1204</v>
      </c>
      <c r="B579" s="1">
        <v>45251</v>
      </c>
      <c r="C579" t="s">
        <v>1205</v>
      </c>
      <c r="D579" t="s">
        <v>17</v>
      </c>
      <c r="E579" t="s">
        <v>85</v>
      </c>
      <c r="F579" t="s">
        <v>60</v>
      </c>
      <c r="G579" t="s">
        <v>32</v>
      </c>
      <c r="H579" t="s">
        <v>115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t="s">
        <v>39</v>
      </c>
    </row>
    <row r="580" spans="1:15" x14ac:dyDescent="0.35">
      <c r="A580" t="s">
        <v>1206</v>
      </c>
      <c r="B580" s="1">
        <v>45252</v>
      </c>
      <c r="C580" t="s">
        <v>1207</v>
      </c>
      <c r="D580" t="s">
        <v>17</v>
      </c>
      <c r="E580" t="s">
        <v>18</v>
      </c>
      <c r="F580" t="s">
        <v>19</v>
      </c>
      <c r="G580" t="s">
        <v>42</v>
      </c>
      <c r="H580" t="s">
        <v>93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t="s">
        <v>39</v>
      </c>
    </row>
    <row r="581" spans="1:15" x14ac:dyDescent="0.35">
      <c r="A581" t="s">
        <v>1208</v>
      </c>
      <c r="B581" s="1">
        <v>45253</v>
      </c>
      <c r="C581" t="s">
        <v>1209</v>
      </c>
      <c r="D581" t="s">
        <v>30</v>
      </c>
      <c r="E581" t="s">
        <v>248</v>
      </c>
      <c r="F581" t="s">
        <v>26</v>
      </c>
      <c r="G581" t="s">
        <v>69</v>
      </c>
      <c r="H581" t="s">
        <v>98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t="s">
        <v>39</v>
      </c>
    </row>
    <row r="582" spans="1:15" x14ac:dyDescent="0.35">
      <c r="A582" t="s">
        <v>1210</v>
      </c>
      <c r="B582" s="1">
        <v>45255</v>
      </c>
      <c r="C582" t="s">
        <v>1211</v>
      </c>
      <c r="D582" t="s">
        <v>49</v>
      </c>
      <c r="E582" t="s">
        <v>37</v>
      </c>
      <c r="F582" t="s">
        <v>26</v>
      </c>
      <c r="G582" t="s">
        <v>20</v>
      </c>
      <c r="H582" t="s">
        <v>264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t="s">
        <v>34</v>
      </c>
    </row>
    <row r="583" spans="1:15" x14ac:dyDescent="0.35">
      <c r="A583" t="s">
        <v>1212</v>
      </c>
      <c r="B583" s="1">
        <v>45255</v>
      </c>
      <c r="C583" t="s">
        <v>1213</v>
      </c>
      <c r="D583" t="s">
        <v>17</v>
      </c>
      <c r="E583" t="s">
        <v>31</v>
      </c>
      <c r="F583" t="s">
        <v>19</v>
      </c>
      <c r="G583" t="s">
        <v>20</v>
      </c>
      <c r="H583" t="s">
        <v>170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t="s">
        <v>56</v>
      </c>
    </row>
    <row r="584" spans="1:15" x14ac:dyDescent="0.35">
      <c r="A584" t="s">
        <v>1214</v>
      </c>
      <c r="B584" s="1">
        <v>45255</v>
      </c>
      <c r="C584" t="s">
        <v>1215</v>
      </c>
      <c r="D584" t="s">
        <v>30</v>
      </c>
      <c r="E584" t="s">
        <v>76</v>
      </c>
      <c r="F584" t="s">
        <v>26</v>
      </c>
      <c r="G584" t="s">
        <v>32</v>
      </c>
      <c r="H584" t="s">
        <v>82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t="s">
        <v>34</v>
      </c>
    </row>
    <row r="585" spans="1:15" x14ac:dyDescent="0.35">
      <c r="A585" t="s">
        <v>1216</v>
      </c>
      <c r="B585" s="1">
        <v>45255</v>
      </c>
      <c r="C585" t="s">
        <v>1217</v>
      </c>
      <c r="D585" t="s">
        <v>17</v>
      </c>
      <c r="E585" t="s">
        <v>37</v>
      </c>
      <c r="F585" t="s">
        <v>26</v>
      </c>
      <c r="G585" t="s">
        <v>32</v>
      </c>
      <c r="H585" t="s">
        <v>115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t="s">
        <v>56</v>
      </c>
    </row>
    <row r="586" spans="1:15" x14ac:dyDescent="0.35">
      <c r="A586" t="s">
        <v>1218</v>
      </c>
      <c r="B586" s="1">
        <v>45256</v>
      </c>
      <c r="C586" t="s">
        <v>1219</v>
      </c>
      <c r="D586" t="s">
        <v>30</v>
      </c>
      <c r="E586" t="s">
        <v>31</v>
      </c>
      <c r="F586" t="s">
        <v>19</v>
      </c>
      <c r="G586" t="s">
        <v>42</v>
      </c>
      <c r="H586" t="s">
        <v>64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t="s">
        <v>39</v>
      </c>
    </row>
    <row r="587" spans="1:15" x14ac:dyDescent="0.35">
      <c r="A587" t="s">
        <v>1220</v>
      </c>
      <c r="B587" s="1">
        <v>45256</v>
      </c>
      <c r="C587" t="s">
        <v>1221</v>
      </c>
      <c r="D587" t="s">
        <v>30</v>
      </c>
      <c r="E587" t="s">
        <v>67</v>
      </c>
      <c r="F587" t="s">
        <v>68</v>
      </c>
      <c r="G587" t="s">
        <v>20</v>
      </c>
      <c r="H587" t="s">
        <v>264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t="s">
        <v>34</v>
      </c>
    </row>
    <row r="588" spans="1:15" x14ac:dyDescent="0.35">
      <c r="A588" t="s">
        <v>1222</v>
      </c>
      <c r="B588" s="1">
        <v>45257</v>
      </c>
      <c r="C588" t="s">
        <v>1223</v>
      </c>
      <c r="D588" t="s">
        <v>30</v>
      </c>
      <c r="E588" t="s">
        <v>18</v>
      </c>
      <c r="F588" t="s">
        <v>19</v>
      </c>
      <c r="G588" t="s">
        <v>69</v>
      </c>
      <c r="H588" t="s">
        <v>163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t="s">
        <v>56</v>
      </c>
    </row>
    <row r="589" spans="1:15" x14ac:dyDescent="0.35">
      <c r="A589" t="s">
        <v>1224</v>
      </c>
      <c r="B589" s="1">
        <v>45258</v>
      </c>
      <c r="C589" t="s">
        <v>1225</v>
      </c>
      <c r="D589" t="s">
        <v>30</v>
      </c>
      <c r="E589" t="s">
        <v>59</v>
      </c>
      <c r="F589" t="s">
        <v>60</v>
      </c>
      <c r="G589" t="s">
        <v>32</v>
      </c>
      <c r="H589" t="s">
        <v>50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t="s">
        <v>56</v>
      </c>
    </row>
    <row r="590" spans="1:15" x14ac:dyDescent="0.35">
      <c r="A590" t="s">
        <v>1226</v>
      </c>
      <c r="B590" s="1">
        <v>45258</v>
      </c>
      <c r="C590" t="s">
        <v>1227</v>
      </c>
      <c r="D590" t="s">
        <v>17</v>
      </c>
      <c r="E590" t="s">
        <v>67</v>
      </c>
      <c r="F590" t="s">
        <v>68</v>
      </c>
      <c r="G590" t="s">
        <v>69</v>
      </c>
      <c r="H590" t="s">
        <v>79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t="s">
        <v>39</v>
      </c>
    </row>
    <row r="591" spans="1:15" x14ac:dyDescent="0.35">
      <c r="A591" t="s">
        <v>1228</v>
      </c>
      <c r="B591" s="1">
        <v>45259</v>
      </c>
      <c r="C591" t="s">
        <v>997</v>
      </c>
      <c r="D591" t="s">
        <v>30</v>
      </c>
      <c r="E591" t="s">
        <v>25</v>
      </c>
      <c r="F591" t="s">
        <v>26</v>
      </c>
      <c r="G591" t="s">
        <v>42</v>
      </c>
      <c r="H591" t="s">
        <v>371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t="s">
        <v>39</v>
      </c>
    </row>
    <row r="592" spans="1:15" x14ac:dyDescent="0.35">
      <c r="A592" t="s">
        <v>1229</v>
      </c>
      <c r="B592" s="1">
        <v>45259</v>
      </c>
      <c r="C592" t="s">
        <v>1181</v>
      </c>
      <c r="D592" t="s">
        <v>17</v>
      </c>
      <c r="E592" t="s">
        <v>166</v>
      </c>
      <c r="F592" t="s">
        <v>60</v>
      </c>
      <c r="G592" t="s">
        <v>32</v>
      </c>
      <c r="H592" t="s">
        <v>101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t="s">
        <v>34</v>
      </c>
    </row>
    <row r="593" spans="1:15" x14ac:dyDescent="0.35">
      <c r="A593" t="s">
        <v>1230</v>
      </c>
      <c r="B593" s="1">
        <v>45260</v>
      </c>
      <c r="C593" t="s">
        <v>1231</v>
      </c>
      <c r="D593" t="s">
        <v>30</v>
      </c>
      <c r="E593" t="s">
        <v>169</v>
      </c>
      <c r="F593" t="s">
        <v>68</v>
      </c>
      <c r="G593" t="s">
        <v>32</v>
      </c>
      <c r="H593" t="s">
        <v>50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t="s">
        <v>56</v>
      </c>
    </row>
    <row r="594" spans="1:15" x14ac:dyDescent="0.35">
      <c r="A594" t="s">
        <v>1232</v>
      </c>
      <c r="B594" s="1">
        <v>45261</v>
      </c>
      <c r="C594" t="s">
        <v>1233</v>
      </c>
      <c r="D594" t="s">
        <v>30</v>
      </c>
      <c r="E594" t="s">
        <v>166</v>
      </c>
      <c r="F594" t="s">
        <v>60</v>
      </c>
      <c r="G594" t="s">
        <v>20</v>
      </c>
      <c r="H594" t="s">
        <v>38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t="s">
        <v>39</v>
      </c>
    </row>
    <row r="595" spans="1:15" x14ac:dyDescent="0.35">
      <c r="A595" t="s">
        <v>1234</v>
      </c>
      <c r="B595" s="1">
        <v>45261</v>
      </c>
      <c r="C595" t="s">
        <v>1235</v>
      </c>
      <c r="D595" t="s">
        <v>17</v>
      </c>
      <c r="E595" t="s">
        <v>31</v>
      </c>
      <c r="F595" t="s">
        <v>19</v>
      </c>
      <c r="G595" t="s">
        <v>42</v>
      </c>
      <c r="H595" t="s">
        <v>43</v>
      </c>
      <c r="I595">
        <v>4</v>
      </c>
      <c r="J595">
        <v>336.19</v>
      </c>
      <c r="K595">
        <v>25</v>
      </c>
      <c r="L595">
        <v>1008.57</v>
      </c>
      <c r="M595">
        <v>8.15</v>
      </c>
      <c r="N595">
        <v>193.56</v>
      </c>
      <c r="O595" t="s">
        <v>34</v>
      </c>
    </row>
    <row r="596" spans="1:15" x14ac:dyDescent="0.35">
      <c r="A596" t="s">
        <v>1236</v>
      </c>
      <c r="B596" s="1">
        <v>45262</v>
      </c>
      <c r="C596" t="s">
        <v>1237</v>
      </c>
      <c r="D596" t="s">
        <v>17</v>
      </c>
      <c r="E596" t="s">
        <v>85</v>
      </c>
      <c r="F596" t="s">
        <v>60</v>
      </c>
      <c r="G596" t="s">
        <v>69</v>
      </c>
      <c r="H596" t="s">
        <v>163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t="s">
        <v>34</v>
      </c>
    </row>
    <row r="597" spans="1:15" x14ac:dyDescent="0.35">
      <c r="A597" t="s">
        <v>1238</v>
      </c>
      <c r="B597" s="1">
        <v>45262</v>
      </c>
      <c r="C597" t="s">
        <v>1239</v>
      </c>
      <c r="D597" t="s">
        <v>49</v>
      </c>
      <c r="E597" t="s">
        <v>129</v>
      </c>
      <c r="F597" t="s">
        <v>19</v>
      </c>
      <c r="G597" t="s">
        <v>42</v>
      </c>
      <c r="H597" t="s">
        <v>46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t="s">
        <v>34</v>
      </c>
    </row>
    <row r="598" spans="1:15" x14ac:dyDescent="0.35">
      <c r="A598" t="s">
        <v>1240</v>
      </c>
      <c r="B598" s="1">
        <v>45263</v>
      </c>
      <c r="C598" t="s">
        <v>1241</v>
      </c>
      <c r="D598" t="s">
        <v>17</v>
      </c>
      <c r="E598" t="s">
        <v>85</v>
      </c>
      <c r="F598" t="s">
        <v>60</v>
      </c>
      <c r="G598" t="s">
        <v>42</v>
      </c>
      <c r="H598" t="s">
        <v>294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t="s">
        <v>34</v>
      </c>
    </row>
    <row r="599" spans="1:15" x14ac:dyDescent="0.35">
      <c r="A599" t="s">
        <v>1242</v>
      </c>
      <c r="B599" s="1">
        <v>45263</v>
      </c>
      <c r="C599" t="s">
        <v>1190</v>
      </c>
      <c r="D599" t="s">
        <v>49</v>
      </c>
      <c r="E599" t="s">
        <v>92</v>
      </c>
      <c r="F599" t="s">
        <v>60</v>
      </c>
      <c r="G599" t="s">
        <v>69</v>
      </c>
      <c r="H599" t="s">
        <v>160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t="s">
        <v>39</v>
      </c>
    </row>
    <row r="600" spans="1:15" x14ac:dyDescent="0.35">
      <c r="A600" t="s">
        <v>1243</v>
      </c>
      <c r="B600" s="1">
        <v>45263</v>
      </c>
      <c r="C600" t="s">
        <v>1244</v>
      </c>
      <c r="D600" t="s">
        <v>49</v>
      </c>
      <c r="E600" t="s">
        <v>76</v>
      </c>
      <c r="F600" t="s">
        <v>26</v>
      </c>
      <c r="G600" t="s">
        <v>42</v>
      </c>
      <c r="H600" t="s">
        <v>234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t="s">
        <v>39</v>
      </c>
    </row>
    <row r="601" spans="1:15" x14ac:dyDescent="0.35">
      <c r="A601" t="s">
        <v>1245</v>
      </c>
      <c r="B601" s="1">
        <v>45263</v>
      </c>
      <c r="C601" t="s">
        <v>1246</v>
      </c>
      <c r="D601" t="s">
        <v>30</v>
      </c>
      <c r="E601" t="s">
        <v>31</v>
      </c>
      <c r="F601" t="s">
        <v>19</v>
      </c>
      <c r="G601" t="s">
        <v>42</v>
      </c>
      <c r="H601" t="s">
        <v>234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t="s">
        <v>34</v>
      </c>
    </row>
    <row r="602" spans="1:15" x14ac:dyDescent="0.35">
      <c r="A602" t="s">
        <v>1247</v>
      </c>
      <c r="B602" s="1">
        <v>45263</v>
      </c>
      <c r="C602" t="s">
        <v>1248</v>
      </c>
      <c r="D602" t="s">
        <v>49</v>
      </c>
      <c r="E602" t="s">
        <v>129</v>
      </c>
      <c r="F602" t="s">
        <v>19</v>
      </c>
      <c r="G602" t="s">
        <v>42</v>
      </c>
      <c r="H602" t="s">
        <v>93</v>
      </c>
      <c r="I602">
        <v>5</v>
      </c>
      <c r="J602">
        <v>233.71</v>
      </c>
      <c r="K602">
        <v>0</v>
      </c>
      <c r="L602">
        <v>1168.55</v>
      </c>
      <c r="M602">
        <v>8.94</v>
      </c>
      <c r="N602">
        <v>458.48</v>
      </c>
      <c r="O602" t="s">
        <v>56</v>
      </c>
    </row>
    <row r="603" spans="1:15" x14ac:dyDescent="0.35">
      <c r="A603" t="s">
        <v>1249</v>
      </c>
      <c r="B603" s="1">
        <v>45264</v>
      </c>
      <c r="C603" t="s">
        <v>1250</v>
      </c>
      <c r="D603" t="s">
        <v>30</v>
      </c>
      <c r="E603" t="s">
        <v>85</v>
      </c>
      <c r="F603" t="s">
        <v>60</v>
      </c>
      <c r="G603" t="s">
        <v>42</v>
      </c>
      <c r="H603" t="s">
        <v>118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t="s">
        <v>56</v>
      </c>
    </row>
    <row r="604" spans="1:15" x14ac:dyDescent="0.35">
      <c r="A604" t="s">
        <v>1251</v>
      </c>
      <c r="B604" s="1">
        <v>45265</v>
      </c>
      <c r="C604" t="s">
        <v>1252</v>
      </c>
      <c r="D604" t="s">
        <v>30</v>
      </c>
      <c r="E604" t="s">
        <v>18</v>
      </c>
      <c r="F604" t="s">
        <v>19</v>
      </c>
      <c r="G604" t="s">
        <v>42</v>
      </c>
      <c r="H604" t="s">
        <v>89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t="s">
        <v>39</v>
      </c>
    </row>
    <row r="605" spans="1:15" x14ac:dyDescent="0.35">
      <c r="A605" t="s">
        <v>1253</v>
      </c>
      <c r="B605" s="1">
        <v>45265</v>
      </c>
      <c r="C605" t="s">
        <v>1254</v>
      </c>
      <c r="D605" t="s">
        <v>30</v>
      </c>
      <c r="E605" t="s">
        <v>85</v>
      </c>
      <c r="F605" t="s">
        <v>60</v>
      </c>
      <c r="G605" t="s">
        <v>42</v>
      </c>
      <c r="H605" t="s">
        <v>234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t="s">
        <v>34</v>
      </c>
    </row>
    <row r="606" spans="1:15" x14ac:dyDescent="0.35">
      <c r="A606" t="s">
        <v>1255</v>
      </c>
      <c r="B606" s="1">
        <v>45265</v>
      </c>
      <c r="C606" t="s">
        <v>1256</v>
      </c>
      <c r="D606" t="s">
        <v>30</v>
      </c>
      <c r="E606" t="s">
        <v>129</v>
      </c>
      <c r="F606" t="s">
        <v>19</v>
      </c>
      <c r="G606" t="s">
        <v>32</v>
      </c>
      <c r="H606" t="s">
        <v>50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t="s">
        <v>39</v>
      </c>
    </row>
    <row r="607" spans="1:15" x14ac:dyDescent="0.35">
      <c r="A607" t="s">
        <v>1257</v>
      </c>
      <c r="B607" s="1">
        <v>45266</v>
      </c>
      <c r="C607" t="s">
        <v>1258</v>
      </c>
      <c r="D607" t="s">
        <v>30</v>
      </c>
      <c r="E607" t="s">
        <v>31</v>
      </c>
      <c r="F607" t="s">
        <v>19</v>
      </c>
      <c r="G607" t="s">
        <v>32</v>
      </c>
      <c r="H607" t="s">
        <v>50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t="s">
        <v>34</v>
      </c>
    </row>
    <row r="608" spans="1:15" x14ac:dyDescent="0.35">
      <c r="A608" t="s">
        <v>1259</v>
      </c>
      <c r="B608" s="1">
        <v>45266</v>
      </c>
      <c r="C608" t="s">
        <v>1260</v>
      </c>
      <c r="D608" t="s">
        <v>30</v>
      </c>
      <c r="E608" t="s">
        <v>31</v>
      </c>
      <c r="F608" t="s">
        <v>19</v>
      </c>
      <c r="G608" t="s">
        <v>20</v>
      </c>
      <c r="H608" t="s">
        <v>55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t="s">
        <v>34</v>
      </c>
    </row>
    <row r="609" spans="1:15" x14ac:dyDescent="0.35">
      <c r="A609" t="s">
        <v>1261</v>
      </c>
      <c r="B609" s="1">
        <v>45266</v>
      </c>
      <c r="C609" t="s">
        <v>1262</v>
      </c>
      <c r="D609" t="s">
        <v>30</v>
      </c>
      <c r="E609" t="s">
        <v>109</v>
      </c>
      <c r="F609" t="s">
        <v>54</v>
      </c>
      <c r="G609" t="s">
        <v>42</v>
      </c>
      <c r="H609" t="s">
        <v>234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t="s">
        <v>39</v>
      </c>
    </row>
    <row r="610" spans="1:15" x14ac:dyDescent="0.35">
      <c r="A610" t="s">
        <v>1263</v>
      </c>
      <c r="B610" s="1">
        <v>45266</v>
      </c>
      <c r="C610" t="s">
        <v>1264</v>
      </c>
      <c r="D610" t="s">
        <v>17</v>
      </c>
      <c r="E610" t="s">
        <v>166</v>
      </c>
      <c r="F610" t="s">
        <v>60</v>
      </c>
      <c r="G610" t="s">
        <v>42</v>
      </c>
      <c r="H610" t="s">
        <v>89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t="s">
        <v>34</v>
      </c>
    </row>
    <row r="611" spans="1:15" x14ac:dyDescent="0.35">
      <c r="A611" t="s">
        <v>1265</v>
      </c>
      <c r="B611" s="1">
        <v>45267</v>
      </c>
      <c r="C611" t="s">
        <v>1266</v>
      </c>
      <c r="D611" t="s">
        <v>17</v>
      </c>
      <c r="E611" t="s">
        <v>166</v>
      </c>
      <c r="F611" t="s">
        <v>60</v>
      </c>
      <c r="G611" t="s">
        <v>32</v>
      </c>
      <c r="H611" t="s">
        <v>50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t="s">
        <v>34</v>
      </c>
    </row>
    <row r="612" spans="1:15" x14ac:dyDescent="0.35">
      <c r="A612" t="s">
        <v>1267</v>
      </c>
      <c r="B612" s="1">
        <v>45267</v>
      </c>
      <c r="C612" t="s">
        <v>1268</v>
      </c>
      <c r="D612" t="s">
        <v>17</v>
      </c>
      <c r="E612" t="s">
        <v>166</v>
      </c>
      <c r="F612" t="s">
        <v>60</v>
      </c>
      <c r="G612" t="s">
        <v>69</v>
      </c>
      <c r="H612" t="s">
        <v>79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t="s">
        <v>34</v>
      </c>
    </row>
    <row r="613" spans="1:15" x14ac:dyDescent="0.35">
      <c r="A613" t="s">
        <v>1269</v>
      </c>
      <c r="B613" s="1">
        <v>45267</v>
      </c>
      <c r="C613" t="s">
        <v>1270</v>
      </c>
      <c r="D613" t="s">
        <v>30</v>
      </c>
      <c r="E613" t="s">
        <v>129</v>
      </c>
      <c r="F613" t="s">
        <v>19</v>
      </c>
      <c r="G613" t="s">
        <v>32</v>
      </c>
      <c r="H613" t="s">
        <v>348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t="s">
        <v>56</v>
      </c>
    </row>
    <row r="614" spans="1:15" x14ac:dyDescent="0.35">
      <c r="A614" t="s">
        <v>1271</v>
      </c>
      <c r="B614" s="1">
        <v>45267</v>
      </c>
      <c r="C614" t="s">
        <v>1272</v>
      </c>
      <c r="D614" t="s">
        <v>49</v>
      </c>
      <c r="E614" t="s">
        <v>18</v>
      </c>
      <c r="F614" t="s">
        <v>19</v>
      </c>
      <c r="G614" t="s">
        <v>32</v>
      </c>
      <c r="H614" t="s">
        <v>149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t="s">
        <v>34</v>
      </c>
    </row>
    <row r="615" spans="1:15" x14ac:dyDescent="0.35">
      <c r="A615" t="s">
        <v>1273</v>
      </c>
      <c r="B615" s="1">
        <v>45267</v>
      </c>
      <c r="C615" t="s">
        <v>1274</v>
      </c>
      <c r="D615" t="s">
        <v>30</v>
      </c>
      <c r="E615" t="s">
        <v>31</v>
      </c>
      <c r="F615" t="s">
        <v>19</v>
      </c>
      <c r="G615" t="s">
        <v>69</v>
      </c>
      <c r="H615" t="s">
        <v>79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t="s">
        <v>34</v>
      </c>
    </row>
    <row r="616" spans="1:15" x14ac:dyDescent="0.35">
      <c r="A616" t="s">
        <v>1275</v>
      </c>
      <c r="B616" s="1">
        <v>45267</v>
      </c>
      <c r="C616" t="s">
        <v>1203</v>
      </c>
      <c r="D616" t="s">
        <v>30</v>
      </c>
      <c r="E616" t="s">
        <v>31</v>
      </c>
      <c r="F616" t="s">
        <v>19</v>
      </c>
      <c r="G616" t="s">
        <v>32</v>
      </c>
      <c r="H616" t="s">
        <v>50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t="s">
        <v>22</v>
      </c>
    </row>
    <row r="617" spans="1:15" x14ac:dyDescent="0.35">
      <c r="A617" t="s">
        <v>1276</v>
      </c>
      <c r="B617" s="1">
        <v>45267</v>
      </c>
      <c r="C617" t="s">
        <v>1277</v>
      </c>
      <c r="D617" t="s">
        <v>17</v>
      </c>
      <c r="E617" t="s">
        <v>31</v>
      </c>
      <c r="F617" t="s">
        <v>19</v>
      </c>
      <c r="G617" t="s">
        <v>69</v>
      </c>
      <c r="H617" t="s">
        <v>196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t="s">
        <v>34</v>
      </c>
    </row>
    <row r="618" spans="1:15" x14ac:dyDescent="0.35">
      <c r="A618" t="s">
        <v>1278</v>
      </c>
      <c r="B618" s="1">
        <v>45268</v>
      </c>
      <c r="C618" t="s">
        <v>1279</v>
      </c>
      <c r="D618" t="s">
        <v>30</v>
      </c>
      <c r="E618" t="s">
        <v>37</v>
      </c>
      <c r="F618" t="s">
        <v>26</v>
      </c>
      <c r="G618" t="s">
        <v>42</v>
      </c>
      <c r="H618" t="s">
        <v>234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t="s">
        <v>56</v>
      </c>
    </row>
    <row r="619" spans="1:15" x14ac:dyDescent="0.35">
      <c r="A619" t="s">
        <v>1280</v>
      </c>
      <c r="B619" s="1">
        <v>45268</v>
      </c>
      <c r="C619" t="s">
        <v>1281</v>
      </c>
      <c r="D619" t="s">
        <v>30</v>
      </c>
      <c r="E619" t="s">
        <v>67</v>
      </c>
      <c r="F619" t="s">
        <v>68</v>
      </c>
      <c r="G619" t="s">
        <v>32</v>
      </c>
      <c r="H619" t="s">
        <v>73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t="s">
        <v>39</v>
      </c>
    </row>
    <row r="620" spans="1:15" x14ac:dyDescent="0.35">
      <c r="A620" t="s">
        <v>1282</v>
      </c>
      <c r="B620" s="1">
        <v>45269</v>
      </c>
      <c r="C620" t="s">
        <v>1005</v>
      </c>
      <c r="D620" t="s">
        <v>30</v>
      </c>
      <c r="E620" t="s">
        <v>76</v>
      </c>
      <c r="F620" t="s">
        <v>26</v>
      </c>
      <c r="G620" t="s">
        <v>42</v>
      </c>
      <c r="H620" t="s">
        <v>294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t="s">
        <v>56</v>
      </c>
    </row>
    <row r="621" spans="1:15" x14ac:dyDescent="0.35">
      <c r="A621" t="s">
        <v>1283</v>
      </c>
      <c r="B621" s="1">
        <v>45269</v>
      </c>
      <c r="C621" t="s">
        <v>1284</v>
      </c>
      <c r="D621" t="s">
        <v>30</v>
      </c>
      <c r="E621" t="s">
        <v>85</v>
      </c>
      <c r="F621" t="s">
        <v>60</v>
      </c>
      <c r="G621" t="s">
        <v>42</v>
      </c>
      <c r="H621" t="s">
        <v>255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t="s">
        <v>39</v>
      </c>
    </row>
    <row r="622" spans="1:15" x14ac:dyDescent="0.35">
      <c r="A622" t="s">
        <v>1285</v>
      </c>
      <c r="B622" s="1">
        <v>45269</v>
      </c>
      <c r="C622" t="s">
        <v>1286</v>
      </c>
      <c r="D622" t="s">
        <v>17</v>
      </c>
      <c r="E622" t="s">
        <v>18</v>
      </c>
      <c r="F622" t="s">
        <v>19</v>
      </c>
      <c r="G622" t="s">
        <v>20</v>
      </c>
      <c r="H622" t="s">
        <v>170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t="s">
        <v>56</v>
      </c>
    </row>
    <row r="623" spans="1:15" x14ac:dyDescent="0.35">
      <c r="A623" t="s">
        <v>1287</v>
      </c>
      <c r="B623" s="1">
        <v>45269</v>
      </c>
      <c r="C623" t="s">
        <v>1288</v>
      </c>
      <c r="D623" t="s">
        <v>17</v>
      </c>
      <c r="E623" t="s">
        <v>92</v>
      </c>
      <c r="F623" t="s">
        <v>60</v>
      </c>
      <c r="G623" t="s">
        <v>32</v>
      </c>
      <c r="H623" t="s">
        <v>149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t="s">
        <v>56</v>
      </c>
    </row>
    <row r="624" spans="1:15" x14ac:dyDescent="0.35">
      <c r="A624" t="s">
        <v>1289</v>
      </c>
      <c r="B624" s="1">
        <v>45270</v>
      </c>
      <c r="C624" t="s">
        <v>1290</v>
      </c>
      <c r="D624" t="s">
        <v>49</v>
      </c>
      <c r="E624" t="s">
        <v>31</v>
      </c>
      <c r="F624" t="s">
        <v>19</v>
      </c>
      <c r="G624" t="s">
        <v>32</v>
      </c>
      <c r="H624" t="s">
        <v>50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t="s">
        <v>34</v>
      </c>
    </row>
    <row r="625" spans="1:15" x14ac:dyDescent="0.35">
      <c r="A625" t="s">
        <v>1291</v>
      </c>
      <c r="B625" s="1">
        <v>45270</v>
      </c>
      <c r="C625" t="s">
        <v>1292</v>
      </c>
      <c r="D625" t="s">
        <v>17</v>
      </c>
      <c r="E625" t="s">
        <v>31</v>
      </c>
      <c r="F625" t="s">
        <v>19</v>
      </c>
      <c r="G625" t="s">
        <v>69</v>
      </c>
      <c r="H625" t="s">
        <v>139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t="s">
        <v>34</v>
      </c>
    </row>
    <row r="626" spans="1:15" x14ac:dyDescent="0.35">
      <c r="A626" t="s">
        <v>1293</v>
      </c>
      <c r="B626" s="1">
        <v>45271</v>
      </c>
      <c r="C626" t="s">
        <v>1294</v>
      </c>
      <c r="D626" t="s">
        <v>30</v>
      </c>
      <c r="E626" t="s">
        <v>129</v>
      </c>
      <c r="F626" t="s">
        <v>19</v>
      </c>
      <c r="G626" t="s">
        <v>32</v>
      </c>
      <c r="H626" t="s">
        <v>132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t="s">
        <v>34</v>
      </c>
    </row>
    <row r="627" spans="1:15" x14ac:dyDescent="0.35">
      <c r="A627" t="s">
        <v>1295</v>
      </c>
      <c r="B627" s="1">
        <v>45271</v>
      </c>
      <c r="C627" t="s">
        <v>1296</v>
      </c>
      <c r="D627" t="s">
        <v>30</v>
      </c>
      <c r="E627" t="s">
        <v>129</v>
      </c>
      <c r="F627" t="s">
        <v>19</v>
      </c>
      <c r="G627" t="s">
        <v>32</v>
      </c>
      <c r="H627" t="s">
        <v>82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t="s">
        <v>56</v>
      </c>
    </row>
    <row r="628" spans="1:15" x14ac:dyDescent="0.35">
      <c r="A628" t="s">
        <v>1297</v>
      </c>
      <c r="B628" s="1">
        <v>45271</v>
      </c>
      <c r="C628" t="s">
        <v>1298</v>
      </c>
      <c r="D628" t="s">
        <v>30</v>
      </c>
      <c r="E628" t="s">
        <v>53</v>
      </c>
      <c r="F628" t="s">
        <v>54</v>
      </c>
      <c r="G628" t="s">
        <v>69</v>
      </c>
      <c r="H628" t="s">
        <v>163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t="s">
        <v>22</v>
      </c>
    </row>
    <row r="629" spans="1:15" x14ac:dyDescent="0.35">
      <c r="A629" t="s">
        <v>1299</v>
      </c>
      <c r="B629" s="1">
        <v>45271</v>
      </c>
      <c r="C629" t="s">
        <v>1300</v>
      </c>
      <c r="D629" t="s">
        <v>17</v>
      </c>
      <c r="E629" t="s">
        <v>121</v>
      </c>
      <c r="F629" t="s">
        <v>68</v>
      </c>
      <c r="G629" t="s">
        <v>32</v>
      </c>
      <c r="H629" t="s">
        <v>73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t="s">
        <v>22</v>
      </c>
    </row>
    <row r="630" spans="1:15" x14ac:dyDescent="0.35">
      <c r="A630" t="s">
        <v>1301</v>
      </c>
      <c r="B630" s="1">
        <v>45271</v>
      </c>
      <c r="C630" t="s">
        <v>1302</v>
      </c>
      <c r="D630" t="s">
        <v>30</v>
      </c>
      <c r="E630" t="s">
        <v>135</v>
      </c>
      <c r="F630" t="s">
        <v>26</v>
      </c>
      <c r="G630" t="s">
        <v>20</v>
      </c>
      <c r="H630" t="s">
        <v>55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t="s">
        <v>34</v>
      </c>
    </row>
    <row r="631" spans="1:15" x14ac:dyDescent="0.35">
      <c r="A631" t="s">
        <v>1303</v>
      </c>
      <c r="B631" s="1">
        <v>45271</v>
      </c>
      <c r="C631" t="s">
        <v>1304</v>
      </c>
      <c r="D631" t="s">
        <v>17</v>
      </c>
      <c r="E631" t="s">
        <v>76</v>
      </c>
      <c r="F631" t="s">
        <v>26</v>
      </c>
      <c r="G631" t="s">
        <v>69</v>
      </c>
      <c r="H631" t="s">
        <v>305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t="s">
        <v>56</v>
      </c>
    </row>
    <row r="632" spans="1:15" x14ac:dyDescent="0.35">
      <c r="A632" t="s">
        <v>1305</v>
      </c>
      <c r="B632" s="1">
        <v>45271</v>
      </c>
      <c r="C632" t="s">
        <v>864</v>
      </c>
      <c r="D632" t="s">
        <v>30</v>
      </c>
      <c r="E632" t="s">
        <v>92</v>
      </c>
      <c r="F632" t="s">
        <v>60</v>
      </c>
      <c r="G632" t="s">
        <v>69</v>
      </c>
      <c r="H632" t="s">
        <v>86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t="s">
        <v>56</v>
      </c>
    </row>
    <row r="633" spans="1:15" x14ac:dyDescent="0.35">
      <c r="A633" t="s">
        <v>1306</v>
      </c>
      <c r="B633" s="1">
        <v>45271</v>
      </c>
      <c r="C633" t="s">
        <v>1307</v>
      </c>
      <c r="D633" t="s">
        <v>49</v>
      </c>
      <c r="E633" t="s">
        <v>18</v>
      </c>
      <c r="F633" t="s">
        <v>19</v>
      </c>
      <c r="G633" t="s">
        <v>32</v>
      </c>
      <c r="H633" t="s">
        <v>101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t="s">
        <v>39</v>
      </c>
    </row>
    <row r="634" spans="1:15" x14ac:dyDescent="0.35">
      <c r="A634" t="s">
        <v>1308</v>
      </c>
      <c r="B634" s="1">
        <v>45273</v>
      </c>
      <c r="C634" t="s">
        <v>1309</v>
      </c>
      <c r="D634" t="s">
        <v>30</v>
      </c>
      <c r="E634" t="s">
        <v>18</v>
      </c>
      <c r="F634" t="s">
        <v>19</v>
      </c>
      <c r="G634" t="s">
        <v>42</v>
      </c>
      <c r="H634" t="s">
        <v>118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t="s">
        <v>56</v>
      </c>
    </row>
    <row r="635" spans="1:15" x14ac:dyDescent="0.35">
      <c r="A635" t="s">
        <v>1310</v>
      </c>
      <c r="B635" s="1">
        <v>45273</v>
      </c>
      <c r="C635" t="s">
        <v>1311</v>
      </c>
      <c r="D635" t="s">
        <v>30</v>
      </c>
      <c r="E635" t="s">
        <v>25</v>
      </c>
      <c r="F635" t="s">
        <v>26</v>
      </c>
      <c r="G635" t="s">
        <v>42</v>
      </c>
      <c r="H635" t="s">
        <v>371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t="s">
        <v>34</v>
      </c>
    </row>
    <row r="636" spans="1:15" x14ac:dyDescent="0.35">
      <c r="A636" t="s">
        <v>1312</v>
      </c>
      <c r="B636" s="1">
        <v>45274</v>
      </c>
      <c r="C636" t="s">
        <v>1313</v>
      </c>
      <c r="D636" t="s">
        <v>30</v>
      </c>
      <c r="E636" t="s">
        <v>248</v>
      </c>
      <c r="F636" t="s">
        <v>26</v>
      </c>
      <c r="G636" t="s">
        <v>20</v>
      </c>
      <c r="H636" t="s">
        <v>38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t="s">
        <v>39</v>
      </c>
    </row>
    <row r="637" spans="1:15" x14ac:dyDescent="0.35">
      <c r="A637" t="s">
        <v>1314</v>
      </c>
      <c r="B637" s="1">
        <v>45274</v>
      </c>
      <c r="C637" t="s">
        <v>1315</v>
      </c>
      <c r="D637" t="s">
        <v>30</v>
      </c>
      <c r="E637" t="s">
        <v>53</v>
      </c>
      <c r="F637" t="s">
        <v>54</v>
      </c>
      <c r="G637" t="s">
        <v>69</v>
      </c>
      <c r="H637" t="s">
        <v>70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t="s">
        <v>34</v>
      </c>
    </row>
    <row r="638" spans="1:15" x14ac:dyDescent="0.35">
      <c r="A638" t="s">
        <v>1316</v>
      </c>
      <c r="B638" s="1">
        <v>45276</v>
      </c>
      <c r="C638" t="s">
        <v>1317</v>
      </c>
      <c r="D638" t="s">
        <v>17</v>
      </c>
      <c r="E638" t="s">
        <v>92</v>
      </c>
      <c r="F638" t="s">
        <v>60</v>
      </c>
      <c r="G638" t="s">
        <v>20</v>
      </c>
      <c r="H638" t="s">
        <v>27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t="s">
        <v>39</v>
      </c>
    </row>
    <row r="639" spans="1:15" x14ac:dyDescent="0.35">
      <c r="A639" t="s">
        <v>1318</v>
      </c>
      <c r="B639" s="1">
        <v>45277</v>
      </c>
      <c r="C639" t="s">
        <v>684</v>
      </c>
      <c r="D639" t="s">
        <v>17</v>
      </c>
      <c r="E639" t="s">
        <v>148</v>
      </c>
      <c r="F639" t="s">
        <v>60</v>
      </c>
      <c r="G639" t="s">
        <v>20</v>
      </c>
      <c r="H639" t="s">
        <v>21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t="s">
        <v>56</v>
      </c>
    </row>
    <row r="640" spans="1:15" x14ac:dyDescent="0.35">
      <c r="A640" t="s">
        <v>1319</v>
      </c>
      <c r="B640" s="1">
        <v>45278</v>
      </c>
      <c r="C640" t="s">
        <v>1320</v>
      </c>
      <c r="D640" t="s">
        <v>30</v>
      </c>
      <c r="E640" t="s">
        <v>129</v>
      </c>
      <c r="F640" t="s">
        <v>19</v>
      </c>
      <c r="G640" t="s">
        <v>32</v>
      </c>
      <c r="H640" t="s">
        <v>110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t="s">
        <v>34</v>
      </c>
    </row>
    <row r="641" spans="1:15" x14ac:dyDescent="0.35">
      <c r="A641" t="s">
        <v>1321</v>
      </c>
      <c r="B641" s="1">
        <v>45278</v>
      </c>
      <c r="C641" t="s">
        <v>1322</v>
      </c>
      <c r="D641" t="s">
        <v>30</v>
      </c>
      <c r="E641" t="s">
        <v>129</v>
      </c>
      <c r="F641" t="s">
        <v>19</v>
      </c>
      <c r="G641" t="s">
        <v>69</v>
      </c>
      <c r="H641" t="s">
        <v>196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t="s">
        <v>22</v>
      </c>
    </row>
    <row r="642" spans="1:15" x14ac:dyDescent="0.35">
      <c r="A642" t="s">
        <v>1323</v>
      </c>
      <c r="B642" s="1">
        <v>45278</v>
      </c>
      <c r="C642" t="s">
        <v>1324</v>
      </c>
      <c r="D642" t="s">
        <v>17</v>
      </c>
      <c r="E642" t="s">
        <v>129</v>
      </c>
      <c r="F642" t="s">
        <v>19</v>
      </c>
      <c r="G642" t="s">
        <v>32</v>
      </c>
      <c r="H642" t="s">
        <v>101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t="s">
        <v>34</v>
      </c>
    </row>
    <row r="643" spans="1:15" x14ac:dyDescent="0.35">
      <c r="A643" t="s">
        <v>1325</v>
      </c>
      <c r="B643" s="1">
        <v>45278</v>
      </c>
      <c r="C643" t="s">
        <v>1326</v>
      </c>
      <c r="D643" t="s">
        <v>49</v>
      </c>
      <c r="E643" t="s">
        <v>135</v>
      </c>
      <c r="F643" t="s">
        <v>26</v>
      </c>
      <c r="G643" t="s">
        <v>42</v>
      </c>
      <c r="H643" t="s">
        <v>64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t="s">
        <v>39</v>
      </c>
    </row>
    <row r="644" spans="1:15" x14ac:dyDescent="0.35">
      <c r="A644" t="s">
        <v>1327</v>
      </c>
      <c r="B644" s="1">
        <v>45278</v>
      </c>
      <c r="C644" t="s">
        <v>1328</v>
      </c>
      <c r="D644" t="s">
        <v>17</v>
      </c>
      <c r="E644" t="s">
        <v>18</v>
      </c>
      <c r="F644" t="s">
        <v>19</v>
      </c>
      <c r="G644" t="s">
        <v>32</v>
      </c>
      <c r="H644" t="s">
        <v>73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t="s">
        <v>34</v>
      </c>
    </row>
    <row r="645" spans="1:15" x14ac:dyDescent="0.35">
      <c r="A645" t="s">
        <v>1329</v>
      </c>
      <c r="B645" s="1">
        <v>45280</v>
      </c>
      <c r="C645" t="s">
        <v>1330</v>
      </c>
      <c r="D645" t="s">
        <v>30</v>
      </c>
      <c r="E645" t="s">
        <v>53</v>
      </c>
      <c r="F645" t="s">
        <v>54</v>
      </c>
      <c r="G645" t="s">
        <v>69</v>
      </c>
      <c r="H645" t="s">
        <v>70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t="s">
        <v>39</v>
      </c>
    </row>
    <row r="646" spans="1:15" x14ac:dyDescent="0.35">
      <c r="A646" t="s">
        <v>1331</v>
      </c>
      <c r="B646" s="1">
        <v>45280</v>
      </c>
      <c r="C646" t="s">
        <v>1332</v>
      </c>
      <c r="D646" t="s">
        <v>30</v>
      </c>
      <c r="E646" t="s">
        <v>63</v>
      </c>
      <c r="F646" t="s">
        <v>54</v>
      </c>
      <c r="G646" t="s">
        <v>42</v>
      </c>
      <c r="H646" t="s">
        <v>118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t="s">
        <v>34</v>
      </c>
    </row>
    <row r="647" spans="1:15" x14ac:dyDescent="0.35">
      <c r="A647" t="s">
        <v>1333</v>
      </c>
      <c r="B647" s="1">
        <v>45280</v>
      </c>
      <c r="C647" t="s">
        <v>716</v>
      </c>
      <c r="D647" t="s">
        <v>49</v>
      </c>
      <c r="E647" t="s">
        <v>92</v>
      </c>
      <c r="F647" t="s">
        <v>60</v>
      </c>
      <c r="G647" t="s">
        <v>20</v>
      </c>
      <c r="H647" t="s">
        <v>38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t="s">
        <v>34</v>
      </c>
    </row>
    <row r="648" spans="1:15" x14ac:dyDescent="0.35">
      <c r="A648" t="s">
        <v>1334</v>
      </c>
      <c r="B648" s="1">
        <v>45281</v>
      </c>
      <c r="C648" t="s">
        <v>1335</v>
      </c>
      <c r="D648" t="s">
        <v>30</v>
      </c>
      <c r="E648" t="s">
        <v>31</v>
      </c>
      <c r="F648" t="s">
        <v>19</v>
      </c>
      <c r="G648" t="s">
        <v>32</v>
      </c>
      <c r="H648" t="s">
        <v>348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t="s">
        <v>22</v>
      </c>
    </row>
    <row r="649" spans="1:15" x14ac:dyDescent="0.35">
      <c r="A649" t="s">
        <v>1336</v>
      </c>
      <c r="B649" s="1">
        <v>45281</v>
      </c>
      <c r="C649" t="s">
        <v>1337</v>
      </c>
      <c r="D649" t="s">
        <v>49</v>
      </c>
      <c r="E649" t="s">
        <v>31</v>
      </c>
      <c r="F649" t="s">
        <v>19</v>
      </c>
      <c r="G649" t="s">
        <v>20</v>
      </c>
      <c r="H649" t="s">
        <v>122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t="s">
        <v>39</v>
      </c>
    </row>
    <row r="650" spans="1:15" x14ac:dyDescent="0.35">
      <c r="A650" t="s">
        <v>1338</v>
      </c>
      <c r="B650" s="1">
        <v>45282</v>
      </c>
      <c r="C650" t="s">
        <v>1339</v>
      </c>
      <c r="D650" t="s">
        <v>49</v>
      </c>
      <c r="E650" t="s">
        <v>166</v>
      </c>
      <c r="F650" t="s">
        <v>60</v>
      </c>
      <c r="G650" t="s">
        <v>20</v>
      </c>
      <c r="H650" t="s">
        <v>175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t="s">
        <v>56</v>
      </c>
    </row>
    <row r="651" spans="1:15" x14ac:dyDescent="0.35">
      <c r="A651" t="s">
        <v>1340</v>
      </c>
      <c r="B651" s="1">
        <v>45282</v>
      </c>
      <c r="C651" t="s">
        <v>1341</v>
      </c>
      <c r="D651" t="s">
        <v>30</v>
      </c>
      <c r="E651" t="s">
        <v>67</v>
      </c>
      <c r="F651" t="s">
        <v>68</v>
      </c>
      <c r="G651" t="s">
        <v>42</v>
      </c>
      <c r="H651" t="s">
        <v>89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t="s">
        <v>34</v>
      </c>
    </row>
    <row r="652" spans="1:15" x14ac:dyDescent="0.35">
      <c r="A652" t="s">
        <v>1342</v>
      </c>
      <c r="B652" s="1">
        <v>45282</v>
      </c>
      <c r="C652" t="s">
        <v>980</v>
      </c>
      <c r="D652" t="s">
        <v>30</v>
      </c>
      <c r="E652" t="s">
        <v>148</v>
      </c>
      <c r="F652" t="s">
        <v>60</v>
      </c>
      <c r="G652" t="s">
        <v>42</v>
      </c>
      <c r="H652" t="s">
        <v>93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t="s">
        <v>56</v>
      </c>
    </row>
    <row r="653" spans="1:15" x14ac:dyDescent="0.35">
      <c r="A653" t="s">
        <v>1343</v>
      </c>
      <c r="B653" s="1">
        <v>45283</v>
      </c>
      <c r="C653" t="s">
        <v>1344</v>
      </c>
      <c r="D653" t="s">
        <v>17</v>
      </c>
      <c r="E653" t="s">
        <v>63</v>
      </c>
      <c r="F653" t="s">
        <v>54</v>
      </c>
      <c r="G653" t="s">
        <v>32</v>
      </c>
      <c r="H653" t="s">
        <v>82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t="s">
        <v>39</v>
      </c>
    </row>
    <row r="654" spans="1:15" x14ac:dyDescent="0.35">
      <c r="A654" t="s">
        <v>1345</v>
      </c>
      <c r="B654" s="1">
        <v>45283</v>
      </c>
      <c r="C654" t="s">
        <v>1346</v>
      </c>
      <c r="D654" t="s">
        <v>17</v>
      </c>
      <c r="E654" t="s">
        <v>166</v>
      </c>
      <c r="F654" t="s">
        <v>60</v>
      </c>
      <c r="G654" t="s">
        <v>20</v>
      </c>
      <c r="H654" t="s">
        <v>106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t="s">
        <v>34</v>
      </c>
    </row>
    <row r="655" spans="1:15" x14ac:dyDescent="0.35">
      <c r="A655" t="s">
        <v>1347</v>
      </c>
      <c r="B655" s="1">
        <v>45283</v>
      </c>
      <c r="C655" t="s">
        <v>1348</v>
      </c>
      <c r="D655" t="s">
        <v>17</v>
      </c>
      <c r="E655" t="s">
        <v>148</v>
      </c>
      <c r="F655" t="s">
        <v>60</v>
      </c>
      <c r="G655" t="s">
        <v>42</v>
      </c>
      <c r="H655" t="s">
        <v>294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t="s">
        <v>34</v>
      </c>
    </row>
    <row r="656" spans="1:15" x14ac:dyDescent="0.35">
      <c r="A656" t="s">
        <v>1349</v>
      </c>
      <c r="B656" s="1">
        <v>45284</v>
      </c>
      <c r="C656" t="s">
        <v>157</v>
      </c>
      <c r="D656" t="s">
        <v>49</v>
      </c>
      <c r="E656" t="s">
        <v>31</v>
      </c>
      <c r="F656" t="s">
        <v>19</v>
      </c>
      <c r="G656" t="s">
        <v>20</v>
      </c>
      <c r="H656" t="s">
        <v>175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t="s">
        <v>39</v>
      </c>
    </row>
    <row r="657" spans="1:15" x14ac:dyDescent="0.35">
      <c r="A657" t="s">
        <v>1350</v>
      </c>
      <c r="B657" s="1">
        <v>45284</v>
      </c>
      <c r="C657" t="s">
        <v>1351</v>
      </c>
      <c r="D657" t="s">
        <v>49</v>
      </c>
      <c r="E657" t="s">
        <v>248</v>
      </c>
      <c r="F657" t="s">
        <v>26</v>
      </c>
      <c r="G657" t="s">
        <v>20</v>
      </c>
      <c r="H657" t="s">
        <v>122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t="s">
        <v>34</v>
      </c>
    </row>
    <row r="658" spans="1:15" x14ac:dyDescent="0.35">
      <c r="A658" t="s">
        <v>1352</v>
      </c>
      <c r="B658" s="1">
        <v>45285</v>
      </c>
      <c r="C658" t="s">
        <v>514</v>
      </c>
      <c r="D658" t="s">
        <v>17</v>
      </c>
      <c r="E658" t="s">
        <v>76</v>
      </c>
      <c r="F658" t="s">
        <v>26</v>
      </c>
      <c r="G658" t="s">
        <v>42</v>
      </c>
      <c r="H658" t="s">
        <v>46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t="s">
        <v>34</v>
      </c>
    </row>
    <row r="659" spans="1:15" x14ac:dyDescent="0.35">
      <c r="A659" t="s">
        <v>1353</v>
      </c>
      <c r="B659" s="1">
        <v>45285</v>
      </c>
      <c r="C659" t="s">
        <v>1354</v>
      </c>
      <c r="D659" t="s">
        <v>49</v>
      </c>
      <c r="E659" t="s">
        <v>248</v>
      </c>
      <c r="F659" t="s">
        <v>26</v>
      </c>
      <c r="G659" t="s">
        <v>20</v>
      </c>
      <c r="H659" t="s">
        <v>55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t="s">
        <v>34</v>
      </c>
    </row>
    <row r="660" spans="1:15" x14ac:dyDescent="0.35">
      <c r="A660" t="s">
        <v>1355</v>
      </c>
      <c r="B660" s="1">
        <v>45286</v>
      </c>
      <c r="C660" t="s">
        <v>1356</v>
      </c>
      <c r="D660" t="s">
        <v>30</v>
      </c>
      <c r="E660" t="s">
        <v>166</v>
      </c>
      <c r="F660" t="s">
        <v>60</v>
      </c>
      <c r="G660" t="s">
        <v>20</v>
      </c>
      <c r="H660" t="s">
        <v>170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t="s">
        <v>56</v>
      </c>
    </row>
    <row r="661" spans="1:15" x14ac:dyDescent="0.35">
      <c r="A661" t="s">
        <v>1357</v>
      </c>
      <c r="B661" s="1">
        <v>45286</v>
      </c>
      <c r="C661" t="s">
        <v>1358</v>
      </c>
      <c r="D661" t="s">
        <v>30</v>
      </c>
      <c r="E661" t="s">
        <v>85</v>
      </c>
      <c r="F661" t="s">
        <v>60</v>
      </c>
      <c r="G661" t="s">
        <v>20</v>
      </c>
      <c r="H661" t="s">
        <v>38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t="s">
        <v>34</v>
      </c>
    </row>
    <row r="662" spans="1:15" x14ac:dyDescent="0.35">
      <c r="A662" t="s">
        <v>1359</v>
      </c>
      <c r="B662" s="1">
        <v>45286</v>
      </c>
      <c r="C662" t="s">
        <v>147</v>
      </c>
      <c r="D662" t="s">
        <v>17</v>
      </c>
      <c r="E662" t="s">
        <v>67</v>
      </c>
      <c r="F662" t="s">
        <v>68</v>
      </c>
      <c r="G662" t="s">
        <v>32</v>
      </c>
      <c r="H662" t="s">
        <v>33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t="s">
        <v>56</v>
      </c>
    </row>
    <row r="663" spans="1:15" x14ac:dyDescent="0.35">
      <c r="A663" t="s">
        <v>1360</v>
      </c>
      <c r="B663" s="1">
        <v>45286</v>
      </c>
      <c r="C663" t="s">
        <v>1361</v>
      </c>
      <c r="D663" t="s">
        <v>17</v>
      </c>
      <c r="E663" t="s">
        <v>148</v>
      </c>
      <c r="F663" t="s">
        <v>60</v>
      </c>
      <c r="G663" t="s">
        <v>20</v>
      </c>
      <c r="H663" t="s">
        <v>170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t="s">
        <v>22</v>
      </c>
    </row>
    <row r="664" spans="1:15" x14ac:dyDescent="0.35">
      <c r="A664" t="s">
        <v>1362</v>
      </c>
      <c r="B664" s="1">
        <v>45286</v>
      </c>
      <c r="C664" t="s">
        <v>1363</v>
      </c>
      <c r="D664" t="s">
        <v>30</v>
      </c>
      <c r="E664" t="s">
        <v>148</v>
      </c>
      <c r="F664" t="s">
        <v>60</v>
      </c>
      <c r="G664" t="s">
        <v>32</v>
      </c>
      <c r="H664" t="s">
        <v>73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t="s">
        <v>34</v>
      </c>
    </row>
    <row r="665" spans="1:15" x14ac:dyDescent="0.35">
      <c r="A665" t="s">
        <v>1364</v>
      </c>
      <c r="B665" s="1">
        <v>45286</v>
      </c>
      <c r="C665" t="s">
        <v>1365</v>
      </c>
      <c r="D665" t="s">
        <v>17</v>
      </c>
      <c r="E665" t="s">
        <v>59</v>
      </c>
      <c r="F665" t="s">
        <v>60</v>
      </c>
      <c r="G665" t="s">
        <v>69</v>
      </c>
      <c r="H665" t="s">
        <v>139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t="s">
        <v>39</v>
      </c>
    </row>
    <row r="666" spans="1:15" x14ac:dyDescent="0.35">
      <c r="A666" t="s">
        <v>1366</v>
      </c>
      <c r="B666" s="1">
        <v>45286</v>
      </c>
      <c r="C666" t="s">
        <v>1367</v>
      </c>
      <c r="D666" t="s">
        <v>49</v>
      </c>
      <c r="E666" t="s">
        <v>129</v>
      </c>
      <c r="F666" t="s">
        <v>19</v>
      </c>
      <c r="G666" t="s">
        <v>20</v>
      </c>
      <c r="H666" t="s">
        <v>175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t="s">
        <v>34</v>
      </c>
    </row>
    <row r="667" spans="1:15" x14ac:dyDescent="0.35">
      <c r="A667" t="s">
        <v>1368</v>
      </c>
      <c r="B667" s="1">
        <v>45287</v>
      </c>
      <c r="C667" t="s">
        <v>1369</v>
      </c>
      <c r="D667" t="s">
        <v>30</v>
      </c>
      <c r="E667" t="s">
        <v>121</v>
      </c>
      <c r="F667" t="s">
        <v>68</v>
      </c>
      <c r="G667" t="s">
        <v>42</v>
      </c>
      <c r="H667" t="s">
        <v>118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t="s">
        <v>39</v>
      </c>
    </row>
    <row r="668" spans="1:15" x14ac:dyDescent="0.35">
      <c r="A668" t="s">
        <v>1370</v>
      </c>
      <c r="B668" s="1">
        <v>45287</v>
      </c>
      <c r="C668" t="s">
        <v>1371</v>
      </c>
      <c r="D668" t="s">
        <v>17</v>
      </c>
      <c r="E668" t="s">
        <v>92</v>
      </c>
      <c r="F668" t="s">
        <v>60</v>
      </c>
      <c r="G668" t="s">
        <v>42</v>
      </c>
      <c r="H668" t="s">
        <v>46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t="s">
        <v>34</v>
      </c>
    </row>
    <row r="669" spans="1:15" x14ac:dyDescent="0.35">
      <c r="A669" t="s">
        <v>1372</v>
      </c>
      <c r="B669" s="1">
        <v>45287</v>
      </c>
      <c r="C669" t="s">
        <v>1373</v>
      </c>
      <c r="D669" t="s">
        <v>30</v>
      </c>
      <c r="E669" t="s">
        <v>67</v>
      </c>
      <c r="F669" t="s">
        <v>68</v>
      </c>
      <c r="G669" t="s">
        <v>32</v>
      </c>
      <c r="H669" t="s">
        <v>348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t="s">
        <v>56</v>
      </c>
    </row>
    <row r="670" spans="1:15" x14ac:dyDescent="0.35">
      <c r="A670" t="s">
        <v>1374</v>
      </c>
      <c r="B670" s="1">
        <v>45288</v>
      </c>
      <c r="C670" t="s">
        <v>1375</v>
      </c>
      <c r="D670" t="s">
        <v>30</v>
      </c>
      <c r="E670" t="s">
        <v>166</v>
      </c>
      <c r="F670" t="s">
        <v>60</v>
      </c>
      <c r="G670" t="s">
        <v>42</v>
      </c>
      <c r="H670" t="s">
        <v>371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t="s">
        <v>56</v>
      </c>
    </row>
    <row r="671" spans="1:15" x14ac:dyDescent="0.35">
      <c r="A671" t="s">
        <v>1376</v>
      </c>
      <c r="B671" s="1">
        <v>45291</v>
      </c>
      <c r="C671" t="s">
        <v>1377</v>
      </c>
      <c r="D671" t="s">
        <v>30</v>
      </c>
      <c r="E671" t="s">
        <v>135</v>
      </c>
      <c r="F671" t="s">
        <v>26</v>
      </c>
      <c r="G671" t="s">
        <v>42</v>
      </c>
      <c r="H671" t="s">
        <v>46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t="s">
        <v>39</v>
      </c>
    </row>
    <row r="672" spans="1:15" x14ac:dyDescent="0.35">
      <c r="A672" t="s">
        <v>1378</v>
      </c>
      <c r="B672" s="1">
        <v>45292</v>
      </c>
      <c r="C672" t="s">
        <v>1379</v>
      </c>
      <c r="D672" t="s">
        <v>49</v>
      </c>
      <c r="E672" t="s">
        <v>31</v>
      </c>
      <c r="F672" t="s">
        <v>19</v>
      </c>
      <c r="G672" t="s">
        <v>20</v>
      </c>
      <c r="H672" t="s">
        <v>122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t="s">
        <v>34</v>
      </c>
    </row>
    <row r="673" spans="1:15" x14ac:dyDescent="0.35">
      <c r="A673" t="s">
        <v>1380</v>
      </c>
      <c r="B673" s="1">
        <v>45292</v>
      </c>
      <c r="C673" t="s">
        <v>1381</v>
      </c>
      <c r="D673" t="s">
        <v>30</v>
      </c>
      <c r="E673" t="s">
        <v>37</v>
      </c>
      <c r="F673" t="s">
        <v>26</v>
      </c>
      <c r="G673" t="s">
        <v>69</v>
      </c>
      <c r="H673" t="s">
        <v>163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t="s">
        <v>39</v>
      </c>
    </row>
    <row r="674" spans="1:15" x14ac:dyDescent="0.35">
      <c r="A674" t="s">
        <v>1382</v>
      </c>
      <c r="B674" s="1">
        <v>45294</v>
      </c>
      <c r="C674" t="s">
        <v>500</v>
      </c>
      <c r="D674" t="s">
        <v>49</v>
      </c>
      <c r="E674" t="s">
        <v>129</v>
      </c>
      <c r="F674" t="s">
        <v>19</v>
      </c>
      <c r="G674" t="s">
        <v>32</v>
      </c>
      <c r="H674" t="s">
        <v>115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t="s">
        <v>34</v>
      </c>
    </row>
    <row r="675" spans="1:15" x14ac:dyDescent="0.35">
      <c r="A675" t="s">
        <v>1383</v>
      </c>
      <c r="B675" s="1">
        <v>45295</v>
      </c>
      <c r="C675" t="s">
        <v>1384</v>
      </c>
      <c r="D675" t="s">
        <v>17</v>
      </c>
      <c r="E675" t="s">
        <v>67</v>
      </c>
      <c r="F675" t="s">
        <v>68</v>
      </c>
      <c r="G675" t="s">
        <v>42</v>
      </c>
      <c r="H675" t="s">
        <v>89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t="s">
        <v>39</v>
      </c>
    </row>
    <row r="676" spans="1:15" x14ac:dyDescent="0.35">
      <c r="A676" t="s">
        <v>1385</v>
      </c>
      <c r="B676" s="1">
        <v>45295</v>
      </c>
      <c r="C676" t="s">
        <v>1386</v>
      </c>
      <c r="D676" t="s">
        <v>30</v>
      </c>
      <c r="E676" t="s">
        <v>76</v>
      </c>
      <c r="F676" t="s">
        <v>26</v>
      </c>
      <c r="G676" t="s">
        <v>32</v>
      </c>
      <c r="H676" t="s">
        <v>132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t="s">
        <v>56</v>
      </c>
    </row>
    <row r="677" spans="1:15" x14ac:dyDescent="0.35">
      <c r="A677" t="s">
        <v>1387</v>
      </c>
      <c r="B677" s="1">
        <v>45295</v>
      </c>
      <c r="C677" t="s">
        <v>1388</v>
      </c>
      <c r="D677" t="s">
        <v>30</v>
      </c>
      <c r="E677" t="s">
        <v>37</v>
      </c>
      <c r="F677" t="s">
        <v>26</v>
      </c>
      <c r="G677" t="s">
        <v>32</v>
      </c>
      <c r="H677" t="s">
        <v>132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t="s">
        <v>56</v>
      </c>
    </row>
    <row r="678" spans="1:15" x14ac:dyDescent="0.35">
      <c r="A678" t="s">
        <v>1389</v>
      </c>
      <c r="B678" s="1">
        <v>45297</v>
      </c>
      <c r="C678" t="s">
        <v>1390</v>
      </c>
      <c r="D678" t="s">
        <v>17</v>
      </c>
      <c r="E678" t="s">
        <v>169</v>
      </c>
      <c r="F678" t="s">
        <v>68</v>
      </c>
      <c r="G678" t="s">
        <v>32</v>
      </c>
      <c r="H678" t="s">
        <v>50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t="s">
        <v>34</v>
      </c>
    </row>
    <row r="679" spans="1:15" x14ac:dyDescent="0.35">
      <c r="A679" t="s">
        <v>1391</v>
      </c>
      <c r="B679" s="1">
        <v>45298</v>
      </c>
      <c r="C679" t="s">
        <v>1392</v>
      </c>
      <c r="D679" t="s">
        <v>30</v>
      </c>
      <c r="E679" t="s">
        <v>37</v>
      </c>
      <c r="F679" t="s">
        <v>26</v>
      </c>
      <c r="G679" t="s">
        <v>69</v>
      </c>
      <c r="H679" t="s">
        <v>243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t="s">
        <v>34</v>
      </c>
    </row>
    <row r="680" spans="1:15" x14ac:dyDescent="0.35">
      <c r="A680" t="s">
        <v>1393</v>
      </c>
      <c r="B680" s="1">
        <v>45299</v>
      </c>
      <c r="C680" t="s">
        <v>1394</v>
      </c>
      <c r="D680" t="s">
        <v>30</v>
      </c>
      <c r="E680" t="s">
        <v>31</v>
      </c>
      <c r="F680" t="s">
        <v>19</v>
      </c>
      <c r="G680" t="s">
        <v>42</v>
      </c>
      <c r="H680" t="s">
        <v>46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t="s">
        <v>34</v>
      </c>
    </row>
    <row r="681" spans="1:15" x14ac:dyDescent="0.35">
      <c r="A681" t="s">
        <v>1395</v>
      </c>
      <c r="B681" s="1">
        <v>45299</v>
      </c>
      <c r="C681" t="s">
        <v>1396</v>
      </c>
      <c r="D681" t="s">
        <v>30</v>
      </c>
      <c r="E681" t="s">
        <v>129</v>
      </c>
      <c r="F681" t="s">
        <v>19</v>
      </c>
      <c r="G681" t="s">
        <v>20</v>
      </c>
      <c r="H681" t="s">
        <v>175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t="s">
        <v>56</v>
      </c>
    </row>
    <row r="682" spans="1:15" x14ac:dyDescent="0.35">
      <c r="A682" t="s">
        <v>1397</v>
      </c>
      <c r="B682" s="1">
        <v>45299</v>
      </c>
      <c r="C682" t="s">
        <v>532</v>
      </c>
      <c r="D682" t="s">
        <v>30</v>
      </c>
      <c r="E682" t="s">
        <v>18</v>
      </c>
      <c r="F682" t="s">
        <v>19</v>
      </c>
      <c r="G682" t="s">
        <v>42</v>
      </c>
      <c r="H682" t="s">
        <v>89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t="s">
        <v>34</v>
      </c>
    </row>
    <row r="683" spans="1:15" x14ac:dyDescent="0.35">
      <c r="A683" t="s">
        <v>1398</v>
      </c>
      <c r="B683" s="1">
        <v>45300</v>
      </c>
      <c r="C683" t="s">
        <v>296</v>
      </c>
      <c r="D683" t="s">
        <v>17</v>
      </c>
      <c r="E683" t="s">
        <v>67</v>
      </c>
      <c r="F683" t="s">
        <v>68</v>
      </c>
      <c r="G683" t="s">
        <v>69</v>
      </c>
      <c r="H683" t="s">
        <v>196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t="s">
        <v>56</v>
      </c>
    </row>
    <row r="684" spans="1:15" x14ac:dyDescent="0.35">
      <c r="A684" t="s">
        <v>1399</v>
      </c>
      <c r="B684" s="1">
        <v>45300</v>
      </c>
      <c r="C684" t="s">
        <v>1400</v>
      </c>
      <c r="D684" t="s">
        <v>49</v>
      </c>
      <c r="E684" t="s">
        <v>31</v>
      </c>
      <c r="F684" t="s">
        <v>19</v>
      </c>
      <c r="G684" t="s">
        <v>42</v>
      </c>
      <c r="H684" t="s">
        <v>93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t="s">
        <v>34</v>
      </c>
    </row>
    <row r="685" spans="1:15" x14ac:dyDescent="0.35">
      <c r="A685" t="s">
        <v>1401</v>
      </c>
      <c r="B685" s="1">
        <v>45301</v>
      </c>
      <c r="C685" t="s">
        <v>1402</v>
      </c>
      <c r="D685" t="s">
        <v>17</v>
      </c>
      <c r="E685" t="s">
        <v>129</v>
      </c>
      <c r="F685" t="s">
        <v>19</v>
      </c>
      <c r="G685" t="s">
        <v>32</v>
      </c>
      <c r="H685" t="s">
        <v>110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t="s">
        <v>34</v>
      </c>
    </row>
    <row r="686" spans="1:15" x14ac:dyDescent="0.35">
      <c r="A686" t="s">
        <v>1403</v>
      </c>
      <c r="B686" s="1">
        <v>45301</v>
      </c>
      <c r="C686" t="s">
        <v>1404</v>
      </c>
      <c r="D686" t="s">
        <v>30</v>
      </c>
      <c r="E686" t="s">
        <v>25</v>
      </c>
      <c r="F686" t="s">
        <v>26</v>
      </c>
      <c r="G686" t="s">
        <v>20</v>
      </c>
      <c r="H686" t="s">
        <v>264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t="s">
        <v>22</v>
      </c>
    </row>
    <row r="687" spans="1:15" x14ac:dyDescent="0.35">
      <c r="A687" t="s">
        <v>1405</v>
      </c>
      <c r="B687" s="1">
        <v>45301</v>
      </c>
      <c r="C687" t="s">
        <v>1406</v>
      </c>
      <c r="D687" t="s">
        <v>49</v>
      </c>
      <c r="E687" t="s">
        <v>31</v>
      </c>
      <c r="F687" t="s">
        <v>19</v>
      </c>
      <c r="G687" t="s">
        <v>20</v>
      </c>
      <c r="H687" t="s">
        <v>21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t="s">
        <v>39</v>
      </c>
    </row>
    <row r="688" spans="1:15" x14ac:dyDescent="0.35">
      <c r="A688" t="s">
        <v>1407</v>
      </c>
      <c r="B688" s="1">
        <v>45302</v>
      </c>
      <c r="C688" t="s">
        <v>1408</v>
      </c>
      <c r="D688" t="s">
        <v>49</v>
      </c>
      <c r="E688" t="s">
        <v>59</v>
      </c>
      <c r="F688" t="s">
        <v>60</v>
      </c>
      <c r="G688" t="s">
        <v>20</v>
      </c>
      <c r="H688" t="s">
        <v>264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t="s">
        <v>56</v>
      </c>
    </row>
    <row r="689" spans="1:15" x14ac:dyDescent="0.35">
      <c r="A689" t="s">
        <v>1409</v>
      </c>
      <c r="B689" s="1">
        <v>45304</v>
      </c>
      <c r="C689" t="s">
        <v>1410</v>
      </c>
      <c r="D689" t="s">
        <v>17</v>
      </c>
      <c r="E689" t="s">
        <v>248</v>
      </c>
      <c r="F689" t="s">
        <v>26</v>
      </c>
      <c r="G689" t="s">
        <v>32</v>
      </c>
      <c r="H689" t="s">
        <v>101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t="s">
        <v>39</v>
      </c>
    </row>
    <row r="690" spans="1:15" x14ac:dyDescent="0.35">
      <c r="A690" t="s">
        <v>1411</v>
      </c>
      <c r="B690" s="1">
        <v>45304</v>
      </c>
      <c r="C690" t="s">
        <v>641</v>
      </c>
      <c r="D690" t="s">
        <v>49</v>
      </c>
      <c r="E690" t="s">
        <v>67</v>
      </c>
      <c r="F690" t="s">
        <v>68</v>
      </c>
      <c r="G690" t="s">
        <v>69</v>
      </c>
      <c r="H690" t="s">
        <v>305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t="s">
        <v>34</v>
      </c>
    </row>
    <row r="691" spans="1:15" x14ac:dyDescent="0.35">
      <c r="A691" t="s">
        <v>1412</v>
      </c>
      <c r="B691" s="1">
        <v>45304</v>
      </c>
      <c r="C691" t="s">
        <v>1413</v>
      </c>
      <c r="D691" t="s">
        <v>49</v>
      </c>
      <c r="E691" t="s">
        <v>138</v>
      </c>
      <c r="F691" t="s">
        <v>54</v>
      </c>
      <c r="G691" t="s">
        <v>20</v>
      </c>
      <c r="H691" t="s">
        <v>122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t="s">
        <v>34</v>
      </c>
    </row>
    <row r="692" spans="1:15" x14ac:dyDescent="0.35">
      <c r="A692" t="s">
        <v>1414</v>
      </c>
      <c r="B692" s="1">
        <v>45304</v>
      </c>
      <c r="C692" t="s">
        <v>1415</v>
      </c>
      <c r="D692" t="s">
        <v>30</v>
      </c>
      <c r="E692" t="s">
        <v>31</v>
      </c>
      <c r="F692" t="s">
        <v>19</v>
      </c>
      <c r="G692" t="s">
        <v>69</v>
      </c>
      <c r="H692" t="s">
        <v>163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t="s">
        <v>56</v>
      </c>
    </row>
    <row r="693" spans="1:15" x14ac:dyDescent="0.35">
      <c r="A693" t="s">
        <v>1416</v>
      </c>
      <c r="B693" s="1">
        <v>45305</v>
      </c>
      <c r="C693" t="s">
        <v>1417</v>
      </c>
      <c r="D693" t="s">
        <v>30</v>
      </c>
      <c r="E693" t="s">
        <v>76</v>
      </c>
      <c r="F693" t="s">
        <v>26</v>
      </c>
      <c r="G693" t="s">
        <v>42</v>
      </c>
      <c r="H693" t="s">
        <v>371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t="s">
        <v>34</v>
      </c>
    </row>
    <row r="694" spans="1:15" x14ac:dyDescent="0.35">
      <c r="A694" t="s">
        <v>1418</v>
      </c>
      <c r="B694" s="1">
        <v>45305</v>
      </c>
      <c r="C694" t="s">
        <v>1419</v>
      </c>
      <c r="D694" t="s">
        <v>30</v>
      </c>
      <c r="E694" t="s">
        <v>148</v>
      </c>
      <c r="F694" t="s">
        <v>60</v>
      </c>
      <c r="G694" t="s">
        <v>32</v>
      </c>
      <c r="H694" t="s">
        <v>33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t="s">
        <v>39</v>
      </c>
    </row>
    <row r="695" spans="1:15" x14ac:dyDescent="0.35">
      <c r="A695" t="s">
        <v>1420</v>
      </c>
      <c r="B695" s="1">
        <v>45307</v>
      </c>
      <c r="C695" t="s">
        <v>238</v>
      </c>
      <c r="D695" t="s">
        <v>49</v>
      </c>
      <c r="E695" t="s">
        <v>18</v>
      </c>
      <c r="F695" t="s">
        <v>19</v>
      </c>
      <c r="G695" t="s">
        <v>32</v>
      </c>
      <c r="H695" t="s">
        <v>50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t="s">
        <v>34</v>
      </c>
    </row>
    <row r="696" spans="1:15" x14ac:dyDescent="0.35">
      <c r="A696" t="s">
        <v>1421</v>
      </c>
      <c r="B696" s="1">
        <v>45307</v>
      </c>
      <c r="C696" t="s">
        <v>229</v>
      </c>
      <c r="D696" t="s">
        <v>30</v>
      </c>
      <c r="E696" t="s">
        <v>138</v>
      </c>
      <c r="F696" t="s">
        <v>54</v>
      </c>
      <c r="G696" t="s">
        <v>42</v>
      </c>
      <c r="H696" t="s">
        <v>118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t="s">
        <v>56</v>
      </c>
    </row>
    <row r="697" spans="1:15" x14ac:dyDescent="0.35">
      <c r="A697" t="s">
        <v>1422</v>
      </c>
      <c r="B697" s="1">
        <v>45308</v>
      </c>
      <c r="C697" t="s">
        <v>1423</v>
      </c>
      <c r="D697" t="s">
        <v>49</v>
      </c>
      <c r="E697" t="s">
        <v>31</v>
      </c>
      <c r="F697" t="s">
        <v>19</v>
      </c>
      <c r="G697" t="s">
        <v>32</v>
      </c>
      <c r="H697" t="s">
        <v>348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t="s">
        <v>34</v>
      </c>
    </row>
    <row r="698" spans="1:15" x14ac:dyDescent="0.35">
      <c r="A698" t="s">
        <v>1424</v>
      </c>
      <c r="B698" s="1">
        <v>45308</v>
      </c>
      <c r="C698" t="s">
        <v>291</v>
      </c>
      <c r="D698" t="s">
        <v>30</v>
      </c>
      <c r="E698" t="s">
        <v>85</v>
      </c>
      <c r="F698" t="s">
        <v>60</v>
      </c>
      <c r="G698" t="s">
        <v>20</v>
      </c>
      <c r="H698" t="s">
        <v>106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t="s">
        <v>56</v>
      </c>
    </row>
    <row r="699" spans="1:15" x14ac:dyDescent="0.35">
      <c r="A699" t="s">
        <v>1425</v>
      </c>
      <c r="B699" s="1">
        <v>45309</v>
      </c>
      <c r="C699" t="s">
        <v>835</v>
      </c>
      <c r="D699" t="s">
        <v>30</v>
      </c>
      <c r="E699" t="s">
        <v>148</v>
      </c>
      <c r="F699" t="s">
        <v>60</v>
      </c>
      <c r="G699" t="s">
        <v>32</v>
      </c>
      <c r="H699" t="s">
        <v>73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t="s">
        <v>56</v>
      </c>
    </row>
    <row r="700" spans="1:15" x14ac:dyDescent="0.35">
      <c r="A700" t="s">
        <v>1426</v>
      </c>
      <c r="B700" s="1">
        <v>45310</v>
      </c>
      <c r="C700" t="s">
        <v>1427</v>
      </c>
      <c r="D700" t="s">
        <v>17</v>
      </c>
      <c r="E700" t="s">
        <v>129</v>
      </c>
      <c r="F700" t="s">
        <v>19</v>
      </c>
      <c r="G700" t="s">
        <v>20</v>
      </c>
      <c r="H700" t="s">
        <v>38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t="s">
        <v>39</v>
      </c>
    </row>
    <row r="701" spans="1:15" x14ac:dyDescent="0.35">
      <c r="A701" t="s">
        <v>1428</v>
      </c>
      <c r="B701" s="1">
        <v>45310</v>
      </c>
      <c r="C701" t="s">
        <v>1429</v>
      </c>
      <c r="D701" t="s">
        <v>30</v>
      </c>
      <c r="E701" t="s">
        <v>129</v>
      </c>
      <c r="F701" t="s">
        <v>19</v>
      </c>
      <c r="G701" t="s">
        <v>42</v>
      </c>
      <c r="H701" t="s">
        <v>118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t="s">
        <v>39</v>
      </c>
    </row>
    <row r="702" spans="1:15" x14ac:dyDescent="0.35">
      <c r="A702" t="s">
        <v>1430</v>
      </c>
      <c r="B702" s="1">
        <v>45310</v>
      </c>
      <c r="C702" t="s">
        <v>1431</v>
      </c>
      <c r="D702" t="s">
        <v>30</v>
      </c>
      <c r="E702" t="s">
        <v>59</v>
      </c>
      <c r="F702" t="s">
        <v>60</v>
      </c>
      <c r="G702" t="s">
        <v>32</v>
      </c>
      <c r="H702" t="s">
        <v>110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t="s">
        <v>39</v>
      </c>
    </row>
    <row r="703" spans="1:15" x14ac:dyDescent="0.35">
      <c r="A703" t="s">
        <v>1432</v>
      </c>
      <c r="B703" s="1">
        <v>45311</v>
      </c>
      <c r="C703" t="s">
        <v>738</v>
      </c>
      <c r="D703" t="s">
        <v>49</v>
      </c>
      <c r="E703" t="s">
        <v>31</v>
      </c>
      <c r="F703" t="s">
        <v>19</v>
      </c>
      <c r="G703" t="s">
        <v>20</v>
      </c>
      <c r="H703" t="s">
        <v>264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t="s">
        <v>34</v>
      </c>
    </row>
    <row r="704" spans="1:15" x14ac:dyDescent="0.35">
      <c r="A704" t="s">
        <v>1433</v>
      </c>
      <c r="B704" s="1">
        <v>45311</v>
      </c>
      <c r="C704" t="s">
        <v>1434</v>
      </c>
      <c r="D704" t="s">
        <v>17</v>
      </c>
      <c r="E704" t="s">
        <v>31</v>
      </c>
      <c r="F704" t="s">
        <v>19</v>
      </c>
      <c r="G704" t="s">
        <v>20</v>
      </c>
      <c r="H704" t="s">
        <v>106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t="s">
        <v>34</v>
      </c>
    </row>
    <row r="705" spans="1:15" x14ac:dyDescent="0.35">
      <c r="A705" t="s">
        <v>1435</v>
      </c>
      <c r="B705" s="1">
        <v>45312</v>
      </c>
      <c r="C705" t="s">
        <v>1436</v>
      </c>
      <c r="D705" t="s">
        <v>17</v>
      </c>
      <c r="E705" t="s">
        <v>85</v>
      </c>
      <c r="F705" t="s">
        <v>60</v>
      </c>
      <c r="G705" t="s">
        <v>42</v>
      </c>
      <c r="H705" t="s">
        <v>43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t="s">
        <v>34</v>
      </c>
    </row>
    <row r="706" spans="1:15" x14ac:dyDescent="0.35">
      <c r="A706" t="s">
        <v>1437</v>
      </c>
      <c r="B706" s="1">
        <v>45312</v>
      </c>
      <c r="C706" t="s">
        <v>1126</v>
      </c>
      <c r="D706" t="s">
        <v>30</v>
      </c>
      <c r="E706" t="s">
        <v>18</v>
      </c>
      <c r="F706" t="s">
        <v>19</v>
      </c>
      <c r="G706" t="s">
        <v>20</v>
      </c>
      <c r="H706" t="s">
        <v>170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t="s">
        <v>34</v>
      </c>
    </row>
    <row r="707" spans="1:15" x14ac:dyDescent="0.35">
      <c r="A707" t="s">
        <v>1438</v>
      </c>
      <c r="B707" s="1">
        <v>45312</v>
      </c>
      <c r="C707" t="s">
        <v>1439</v>
      </c>
      <c r="D707" t="s">
        <v>17</v>
      </c>
      <c r="E707" t="s">
        <v>76</v>
      </c>
      <c r="F707" t="s">
        <v>26</v>
      </c>
      <c r="G707" t="s">
        <v>69</v>
      </c>
      <c r="H707" t="s">
        <v>139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t="s">
        <v>39</v>
      </c>
    </row>
    <row r="708" spans="1:15" x14ac:dyDescent="0.35">
      <c r="A708" t="s">
        <v>1440</v>
      </c>
      <c r="B708" s="1">
        <v>45313</v>
      </c>
      <c r="C708" t="s">
        <v>1441</v>
      </c>
      <c r="D708" t="s">
        <v>17</v>
      </c>
      <c r="E708" t="s">
        <v>248</v>
      </c>
      <c r="F708" t="s">
        <v>26</v>
      </c>
      <c r="G708" t="s">
        <v>20</v>
      </c>
      <c r="H708" t="s">
        <v>106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t="s">
        <v>56</v>
      </c>
    </row>
    <row r="709" spans="1:15" x14ac:dyDescent="0.35">
      <c r="A709" t="s">
        <v>1442</v>
      </c>
      <c r="B709" s="1">
        <v>45313</v>
      </c>
      <c r="C709" t="s">
        <v>1443</v>
      </c>
      <c r="D709" t="s">
        <v>17</v>
      </c>
      <c r="E709" t="s">
        <v>129</v>
      </c>
      <c r="F709" t="s">
        <v>19</v>
      </c>
      <c r="G709" t="s">
        <v>69</v>
      </c>
      <c r="H709" t="s">
        <v>70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t="s">
        <v>39</v>
      </c>
    </row>
    <row r="710" spans="1:15" x14ac:dyDescent="0.35">
      <c r="A710" t="s">
        <v>1444</v>
      </c>
      <c r="B710" s="1">
        <v>45315</v>
      </c>
      <c r="C710" t="s">
        <v>1445</v>
      </c>
      <c r="D710" t="s">
        <v>30</v>
      </c>
      <c r="E710" t="s">
        <v>148</v>
      </c>
      <c r="F710" t="s">
        <v>60</v>
      </c>
      <c r="G710" t="s">
        <v>32</v>
      </c>
      <c r="H710" t="s">
        <v>82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t="s">
        <v>34</v>
      </c>
    </row>
    <row r="711" spans="1:15" x14ac:dyDescent="0.35">
      <c r="A711" t="s">
        <v>1446</v>
      </c>
      <c r="B711" s="1">
        <v>45315</v>
      </c>
      <c r="C711" t="s">
        <v>1447</v>
      </c>
      <c r="D711" t="s">
        <v>17</v>
      </c>
      <c r="E711" t="s">
        <v>18</v>
      </c>
      <c r="F711" t="s">
        <v>19</v>
      </c>
      <c r="G711" t="s">
        <v>69</v>
      </c>
      <c r="H711" t="s">
        <v>98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t="s">
        <v>39</v>
      </c>
    </row>
    <row r="712" spans="1:15" x14ac:dyDescent="0.35">
      <c r="A712" t="s">
        <v>1448</v>
      </c>
      <c r="B712" s="1">
        <v>45318</v>
      </c>
      <c r="C712" t="s">
        <v>1449</v>
      </c>
      <c r="D712" t="s">
        <v>17</v>
      </c>
      <c r="E712" t="s">
        <v>18</v>
      </c>
      <c r="F712" t="s">
        <v>19</v>
      </c>
      <c r="G712" t="s">
        <v>69</v>
      </c>
      <c r="H712" t="s">
        <v>79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t="s">
        <v>34</v>
      </c>
    </row>
    <row r="713" spans="1:15" x14ac:dyDescent="0.35">
      <c r="A713" t="s">
        <v>1450</v>
      </c>
      <c r="B713" s="1">
        <v>45318</v>
      </c>
      <c r="C713" t="s">
        <v>1451</v>
      </c>
      <c r="D713" t="s">
        <v>17</v>
      </c>
      <c r="E713" t="s">
        <v>59</v>
      </c>
      <c r="F713" t="s">
        <v>60</v>
      </c>
      <c r="G713" t="s">
        <v>32</v>
      </c>
      <c r="H713" t="s">
        <v>50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t="s">
        <v>56</v>
      </c>
    </row>
    <row r="714" spans="1:15" x14ac:dyDescent="0.35">
      <c r="A714" t="s">
        <v>1452</v>
      </c>
      <c r="B714" s="1">
        <v>45319</v>
      </c>
      <c r="C714" t="s">
        <v>1453</v>
      </c>
      <c r="D714" t="s">
        <v>30</v>
      </c>
      <c r="E714" t="s">
        <v>18</v>
      </c>
      <c r="F714" t="s">
        <v>19</v>
      </c>
      <c r="G714" t="s">
        <v>69</v>
      </c>
      <c r="H714" t="s">
        <v>243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t="s">
        <v>34</v>
      </c>
    </row>
    <row r="715" spans="1:15" x14ac:dyDescent="0.35">
      <c r="A715" t="s">
        <v>1454</v>
      </c>
      <c r="B715" s="1">
        <v>45320</v>
      </c>
      <c r="C715" t="s">
        <v>506</v>
      </c>
      <c r="D715" t="s">
        <v>17</v>
      </c>
      <c r="E715" t="s">
        <v>138</v>
      </c>
      <c r="F715" t="s">
        <v>54</v>
      </c>
      <c r="G715" t="s">
        <v>20</v>
      </c>
      <c r="H715" t="s">
        <v>27</v>
      </c>
      <c r="I715">
        <v>12</v>
      </c>
      <c r="J715">
        <v>150.5</v>
      </c>
      <c r="K715">
        <v>20</v>
      </c>
      <c r="L715">
        <v>1444.8</v>
      </c>
      <c r="M715">
        <v>37.799999999999997</v>
      </c>
      <c r="N715">
        <v>413.7</v>
      </c>
      <c r="O715" t="s">
        <v>34</v>
      </c>
    </row>
    <row r="716" spans="1:15" x14ac:dyDescent="0.35">
      <c r="A716" t="s">
        <v>1455</v>
      </c>
      <c r="B716" s="1">
        <v>45321</v>
      </c>
      <c r="C716" t="s">
        <v>512</v>
      </c>
      <c r="D716" t="s">
        <v>30</v>
      </c>
      <c r="E716" t="s">
        <v>31</v>
      </c>
      <c r="F716" t="s">
        <v>19</v>
      </c>
      <c r="G716" t="s">
        <v>32</v>
      </c>
      <c r="H716" t="s">
        <v>115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t="s">
        <v>56</v>
      </c>
    </row>
    <row r="717" spans="1:15" x14ac:dyDescent="0.35">
      <c r="A717" t="s">
        <v>1456</v>
      </c>
      <c r="B717" s="1">
        <v>45322</v>
      </c>
      <c r="C717" t="s">
        <v>1457</v>
      </c>
      <c r="D717" t="s">
        <v>49</v>
      </c>
      <c r="E717" t="s">
        <v>85</v>
      </c>
      <c r="F717" t="s">
        <v>60</v>
      </c>
      <c r="G717" t="s">
        <v>42</v>
      </c>
      <c r="H717" t="s">
        <v>234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t="s">
        <v>39</v>
      </c>
    </row>
    <row r="718" spans="1:15" x14ac:dyDescent="0.35">
      <c r="A718" t="s">
        <v>1458</v>
      </c>
      <c r="B718" s="1">
        <v>45322</v>
      </c>
      <c r="C718" t="s">
        <v>1459</v>
      </c>
      <c r="D718" t="s">
        <v>17</v>
      </c>
      <c r="E718" t="s">
        <v>18</v>
      </c>
      <c r="F718" t="s">
        <v>19</v>
      </c>
      <c r="G718" t="s">
        <v>20</v>
      </c>
      <c r="H718" t="s">
        <v>27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t="s">
        <v>56</v>
      </c>
    </row>
    <row r="719" spans="1:15" x14ac:dyDescent="0.35">
      <c r="A719" t="s">
        <v>1460</v>
      </c>
      <c r="B719" s="1">
        <v>45322</v>
      </c>
      <c r="C719" t="s">
        <v>1461</v>
      </c>
      <c r="D719" t="s">
        <v>49</v>
      </c>
      <c r="E719" t="s">
        <v>121</v>
      </c>
      <c r="F719" t="s">
        <v>68</v>
      </c>
      <c r="G719" t="s">
        <v>32</v>
      </c>
      <c r="H719" t="s">
        <v>33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t="s">
        <v>34</v>
      </c>
    </row>
    <row r="720" spans="1:15" x14ac:dyDescent="0.35">
      <c r="A720" t="s">
        <v>1462</v>
      </c>
      <c r="B720" s="1">
        <v>45324</v>
      </c>
      <c r="C720" t="s">
        <v>1463</v>
      </c>
      <c r="D720" t="s">
        <v>17</v>
      </c>
      <c r="E720" t="s">
        <v>31</v>
      </c>
      <c r="F720" t="s">
        <v>19</v>
      </c>
      <c r="G720" t="s">
        <v>42</v>
      </c>
      <c r="H720" t="s">
        <v>46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t="s">
        <v>56</v>
      </c>
    </row>
    <row r="721" spans="1:15" x14ac:dyDescent="0.35">
      <c r="A721" t="s">
        <v>1464</v>
      </c>
      <c r="B721" s="1">
        <v>45324</v>
      </c>
      <c r="C721" t="s">
        <v>1465</v>
      </c>
      <c r="D721" t="s">
        <v>17</v>
      </c>
      <c r="E721" t="s">
        <v>37</v>
      </c>
      <c r="F721" t="s">
        <v>26</v>
      </c>
      <c r="G721" t="s">
        <v>69</v>
      </c>
      <c r="H721" t="s">
        <v>70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t="s">
        <v>22</v>
      </c>
    </row>
    <row r="722" spans="1:15" x14ac:dyDescent="0.35">
      <c r="A722" t="s">
        <v>1466</v>
      </c>
      <c r="B722" s="1">
        <v>45325</v>
      </c>
      <c r="C722" t="s">
        <v>1381</v>
      </c>
      <c r="D722" t="s">
        <v>49</v>
      </c>
      <c r="E722" t="s">
        <v>92</v>
      </c>
      <c r="F722" t="s">
        <v>60</v>
      </c>
      <c r="G722" t="s">
        <v>32</v>
      </c>
      <c r="H722" t="s">
        <v>348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t="s">
        <v>39</v>
      </c>
    </row>
    <row r="723" spans="1:15" x14ac:dyDescent="0.35">
      <c r="A723" t="s">
        <v>1467</v>
      </c>
      <c r="B723" s="1">
        <v>45325</v>
      </c>
      <c r="C723" t="s">
        <v>1468</v>
      </c>
      <c r="D723" t="s">
        <v>49</v>
      </c>
      <c r="E723" t="s">
        <v>25</v>
      </c>
      <c r="F723" t="s">
        <v>26</v>
      </c>
      <c r="G723" t="s">
        <v>42</v>
      </c>
      <c r="H723" t="s">
        <v>294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t="s">
        <v>39</v>
      </c>
    </row>
    <row r="724" spans="1:15" x14ac:dyDescent="0.35">
      <c r="A724" t="s">
        <v>1469</v>
      </c>
      <c r="B724" s="1">
        <v>45326</v>
      </c>
      <c r="C724" t="s">
        <v>1470</v>
      </c>
      <c r="D724" t="s">
        <v>17</v>
      </c>
      <c r="E724" t="s">
        <v>135</v>
      </c>
      <c r="F724" t="s">
        <v>26</v>
      </c>
      <c r="G724" t="s">
        <v>32</v>
      </c>
      <c r="H724" t="s">
        <v>115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t="s">
        <v>39</v>
      </c>
    </row>
    <row r="725" spans="1:15" x14ac:dyDescent="0.35">
      <c r="A725" t="s">
        <v>1471</v>
      </c>
      <c r="B725" s="1">
        <v>45326</v>
      </c>
      <c r="C725" t="s">
        <v>1472</v>
      </c>
      <c r="D725" t="s">
        <v>17</v>
      </c>
      <c r="E725" t="s">
        <v>18</v>
      </c>
      <c r="F725" t="s">
        <v>19</v>
      </c>
      <c r="G725" t="s">
        <v>42</v>
      </c>
      <c r="H725" t="s">
        <v>371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t="s">
        <v>34</v>
      </c>
    </row>
    <row r="726" spans="1:15" x14ac:dyDescent="0.35">
      <c r="A726" t="s">
        <v>1473</v>
      </c>
      <c r="B726" s="1">
        <v>45326</v>
      </c>
      <c r="C726" t="s">
        <v>825</v>
      </c>
      <c r="D726" t="s">
        <v>17</v>
      </c>
      <c r="E726" t="s">
        <v>18</v>
      </c>
      <c r="F726" t="s">
        <v>19</v>
      </c>
      <c r="G726" t="s">
        <v>20</v>
      </c>
      <c r="H726" t="s">
        <v>122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t="s">
        <v>39</v>
      </c>
    </row>
    <row r="727" spans="1:15" x14ac:dyDescent="0.35">
      <c r="A727" t="s">
        <v>1474</v>
      </c>
      <c r="B727" s="1">
        <v>45329</v>
      </c>
      <c r="C727" t="s">
        <v>1475</v>
      </c>
      <c r="D727" t="s">
        <v>17</v>
      </c>
      <c r="E727" t="s">
        <v>148</v>
      </c>
      <c r="F727" t="s">
        <v>60</v>
      </c>
      <c r="G727" t="s">
        <v>69</v>
      </c>
      <c r="H727" t="s">
        <v>139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t="s">
        <v>56</v>
      </c>
    </row>
    <row r="728" spans="1:15" x14ac:dyDescent="0.35">
      <c r="A728" t="s">
        <v>1476</v>
      </c>
      <c r="B728" s="1">
        <v>45329</v>
      </c>
      <c r="C728" t="s">
        <v>1477</v>
      </c>
      <c r="D728" t="s">
        <v>30</v>
      </c>
      <c r="E728" t="s">
        <v>25</v>
      </c>
      <c r="F728" t="s">
        <v>26</v>
      </c>
      <c r="G728" t="s">
        <v>69</v>
      </c>
      <c r="H728" t="s">
        <v>86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t="s">
        <v>56</v>
      </c>
    </row>
    <row r="729" spans="1:15" x14ac:dyDescent="0.35">
      <c r="A729" t="s">
        <v>1478</v>
      </c>
      <c r="B729" s="1">
        <v>45329</v>
      </c>
      <c r="C729" t="s">
        <v>309</v>
      </c>
      <c r="D729" t="s">
        <v>30</v>
      </c>
      <c r="E729" t="s">
        <v>37</v>
      </c>
      <c r="F729" t="s">
        <v>26</v>
      </c>
      <c r="G729" t="s">
        <v>20</v>
      </c>
      <c r="H729" t="s">
        <v>38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t="s">
        <v>34</v>
      </c>
    </row>
    <row r="730" spans="1:15" x14ac:dyDescent="0.35">
      <c r="A730" t="s">
        <v>1479</v>
      </c>
      <c r="B730" s="1">
        <v>45330</v>
      </c>
      <c r="C730" t="s">
        <v>1480</v>
      </c>
      <c r="D730" t="s">
        <v>30</v>
      </c>
      <c r="E730" t="s">
        <v>25</v>
      </c>
      <c r="F730" t="s">
        <v>26</v>
      </c>
      <c r="G730" t="s">
        <v>20</v>
      </c>
      <c r="H730" t="s">
        <v>38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t="s">
        <v>39</v>
      </c>
    </row>
    <row r="731" spans="1:15" x14ac:dyDescent="0.35">
      <c r="A731" t="s">
        <v>1481</v>
      </c>
      <c r="B731" s="1">
        <v>45330</v>
      </c>
      <c r="C731" t="s">
        <v>1482</v>
      </c>
      <c r="D731" t="s">
        <v>30</v>
      </c>
      <c r="E731" t="s">
        <v>85</v>
      </c>
      <c r="F731" t="s">
        <v>60</v>
      </c>
      <c r="G731" t="s">
        <v>42</v>
      </c>
      <c r="H731" t="s">
        <v>93</v>
      </c>
      <c r="I731">
        <v>6</v>
      </c>
      <c r="J731">
        <v>443.99</v>
      </c>
      <c r="K731">
        <v>15</v>
      </c>
      <c r="L731">
        <v>2264.35</v>
      </c>
      <c r="M731">
        <v>18.29</v>
      </c>
      <c r="N731">
        <v>647.70000000000005</v>
      </c>
      <c r="O731" t="s">
        <v>34</v>
      </c>
    </row>
    <row r="732" spans="1:15" x14ac:dyDescent="0.35">
      <c r="A732" t="s">
        <v>1483</v>
      </c>
      <c r="B732" s="1">
        <v>45332</v>
      </c>
      <c r="C732" t="s">
        <v>1484</v>
      </c>
      <c r="D732" t="s">
        <v>49</v>
      </c>
      <c r="E732" t="s">
        <v>76</v>
      </c>
      <c r="F732" t="s">
        <v>26</v>
      </c>
      <c r="G732" t="s">
        <v>20</v>
      </c>
      <c r="H732" t="s">
        <v>21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t="s">
        <v>39</v>
      </c>
    </row>
    <row r="733" spans="1:15" x14ac:dyDescent="0.35">
      <c r="A733" t="s">
        <v>1485</v>
      </c>
      <c r="B733" s="1">
        <v>45332</v>
      </c>
      <c r="C733" t="s">
        <v>1408</v>
      </c>
      <c r="D733" t="s">
        <v>30</v>
      </c>
      <c r="E733" t="s">
        <v>148</v>
      </c>
      <c r="F733" t="s">
        <v>60</v>
      </c>
      <c r="G733" t="s">
        <v>69</v>
      </c>
      <c r="H733" t="s">
        <v>86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t="s">
        <v>34</v>
      </c>
    </row>
    <row r="734" spans="1:15" x14ac:dyDescent="0.35">
      <c r="A734" t="s">
        <v>1486</v>
      </c>
      <c r="B734" s="1">
        <v>45333</v>
      </c>
      <c r="C734" t="s">
        <v>1487</v>
      </c>
      <c r="D734" t="s">
        <v>17</v>
      </c>
      <c r="E734" t="s">
        <v>121</v>
      </c>
      <c r="F734" t="s">
        <v>68</v>
      </c>
      <c r="G734" t="s">
        <v>42</v>
      </c>
      <c r="H734" t="s">
        <v>89</v>
      </c>
      <c r="I734">
        <v>8</v>
      </c>
      <c r="J734">
        <v>180.57</v>
      </c>
      <c r="K734">
        <v>10</v>
      </c>
      <c r="L734">
        <v>1300.0999999999999</v>
      </c>
      <c r="M734">
        <v>17.579999999999998</v>
      </c>
      <c r="N734">
        <v>415.78</v>
      </c>
      <c r="O734" t="s">
        <v>34</v>
      </c>
    </row>
    <row r="735" spans="1:15" x14ac:dyDescent="0.35">
      <c r="A735" t="s">
        <v>1488</v>
      </c>
      <c r="B735" s="1">
        <v>45333</v>
      </c>
      <c r="C735" t="s">
        <v>1489</v>
      </c>
      <c r="D735" t="s">
        <v>17</v>
      </c>
      <c r="E735" t="s">
        <v>109</v>
      </c>
      <c r="F735" t="s">
        <v>54</v>
      </c>
      <c r="G735" t="s">
        <v>20</v>
      </c>
      <c r="H735" t="s">
        <v>264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t="s">
        <v>22</v>
      </c>
    </row>
    <row r="736" spans="1:15" x14ac:dyDescent="0.35">
      <c r="A736" t="s">
        <v>1490</v>
      </c>
      <c r="B736" s="1">
        <v>45334</v>
      </c>
      <c r="C736" t="s">
        <v>1491</v>
      </c>
      <c r="D736" t="s">
        <v>30</v>
      </c>
      <c r="E736" t="s">
        <v>31</v>
      </c>
      <c r="F736" t="s">
        <v>19</v>
      </c>
      <c r="G736" t="s">
        <v>32</v>
      </c>
      <c r="H736" t="s">
        <v>82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t="s">
        <v>39</v>
      </c>
    </row>
    <row r="737" spans="1:15" x14ac:dyDescent="0.35">
      <c r="A737" t="s">
        <v>1492</v>
      </c>
      <c r="B737" s="1">
        <v>45335</v>
      </c>
      <c r="C737" t="s">
        <v>1493</v>
      </c>
      <c r="D737" t="s">
        <v>17</v>
      </c>
      <c r="E737" t="s">
        <v>121</v>
      </c>
      <c r="F737" t="s">
        <v>68</v>
      </c>
      <c r="G737" t="s">
        <v>20</v>
      </c>
      <c r="H737" t="s">
        <v>122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t="s">
        <v>34</v>
      </c>
    </row>
    <row r="738" spans="1:15" x14ac:dyDescent="0.35">
      <c r="A738" t="s">
        <v>1494</v>
      </c>
      <c r="B738" s="1">
        <v>45335</v>
      </c>
      <c r="C738" t="s">
        <v>1495</v>
      </c>
      <c r="D738" t="s">
        <v>30</v>
      </c>
      <c r="E738" t="s">
        <v>25</v>
      </c>
      <c r="F738" t="s">
        <v>26</v>
      </c>
      <c r="G738" t="s">
        <v>32</v>
      </c>
      <c r="H738" t="s">
        <v>348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t="s">
        <v>39</v>
      </c>
    </row>
    <row r="739" spans="1:15" x14ac:dyDescent="0.35">
      <c r="A739" t="s">
        <v>1496</v>
      </c>
      <c r="B739" s="1">
        <v>45336</v>
      </c>
      <c r="C739" t="s">
        <v>1429</v>
      </c>
      <c r="D739" t="s">
        <v>30</v>
      </c>
      <c r="E739" t="s">
        <v>63</v>
      </c>
      <c r="F739" t="s">
        <v>54</v>
      </c>
      <c r="G739" t="s">
        <v>69</v>
      </c>
      <c r="H739" t="s">
        <v>86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t="s">
        <v>22</v>
      </c>
    </row>
    <row r="740" spans="1:15" x14ac:dyDescent="0.35">
      <c r="A740" t="s">
        <v>1497</v>
      </c>
      <c r="B740" s="1">
        <v>45336</v>
      </c>
      <c r="C740" t="s">
        <v>1498</v>
      </c>
      <c r="D740" t="s">
        <v>30</v>
      </c>
      <c r="E740" t="s">
        <v>18</v>
      </c>
      <c r="F740" t="s">
        <v>19</v>
      </c>
      <c r="G740" t="s">
        <v>42</v>
      </c>
      <c r="H740" t="s">
        <v>255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t="s">
        <v>39</v>
      </c>
    </row>
    <row r="741" spans="1:15" x14ac:dyDescent="0.35">
      <c r="A741" t="s">
        <v>1499</v>
      </c>
      <c r="B741" s="1">
        <v>45337</v>
      </c>
      <c r="C741" t="s">
        <v>964</v>
      </c>
      <c r="D741" t="s">
        <v>30</v>
      </c>
      <c r="E741" t="s">
        <v>59</v>
      </c>
      <c r="F741" t="s">
        <v>60</v>
      </c>
      <c r="G741" t="s">
        <v>20</v>
      </c>
      <c r="H741" t="s">
        <v>106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t="s">
        <v>22</v>
      </c>
    </row>
    <row r="742" spans="1:15" x14ac:dyDescent="0.35">
      <c r="A742" t="s">
        <v>1500</v>
      </c>
      <c r="B742" s="1">
        <v>45338</v>
      </c>
      <c r="C742" t="s">
        <v>1207</v>
      </c>
      <c r="D742" t="s">
        <v>17</v>
      </c>
      <c r="E742" t="s">
        <v>63</v>
      </c>
      <c r="F742" t="s">
        <v>54</v>
      </c>
      <c r="G742" t="s">
        <v>32</v>
      </c>
      <c r="H742" t="s">
        <v>101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t="s">
        <v>34</v>
      </c>
    </row>
    <row r="743" spans="1:15" x14ac:dyDescent="0.35">
      <c r="A743" t="s">
        <v>1501</v>
      </c>
      <c r="B743" s="1">
        <v>45339</v>
      </c>
      <c r="C743" t="s">
        <v>473</v>
      </c>
      <c r="D743" t="s">
        <v>30</v>
      </c>
      <c r="E743" t="s">
        <v>148</v>
      </c>
      <c r="F743" t="s">
        <v>60</v>
      </c>
      <c r="G743" t="s">
        <v>69</v>
      </c>
      <c r="H743" t="s">
        <v>243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t="s">
        <v>34</v>
      </c>
    </row>
    <row r="744" spans="1:15" x14ac:dyDescent="0.35">
      <c r="A744" t="s">
        <v>1502</v>
      </c>
      <c r="B744" s="1">
        <v>45340</v>
      </c>
      <c r="C744" t="s">
        <v>1503</v>
      </c>
      <c r="D744" t="s">
        <v>30</v>
      </c>
      <c r="E744" t="s">
        <v>18</v>
      </c>
      <c r="F744" t="s">
        <v>19</v>
      </c>
      <c r="G744" t="s">
        <v>42</v>
      </c>
      <c r="H744" t="s">
        <v>93</v>
      </c>
      <c r="I744">
        <v>7</v>
      </c>
      <c r="J744">
        <v>429.66</v>
      </c>
      <c r="K744">
        <v>0</v>
      </c>
      <c r="L744">
        <v>3007.62</v>
      </c>
      <c r="M744">
        <v>13.26</v>
      </c>
      <c r="N744">
        <v>1189.79</v>
      </c>
      <c r="O744" t="s">
        <v>39</v>
      </c>
    </row>
    <row r="745" spans="1:15" x14ac:dyDescent="0.35">
      <c r="A745" t="s">
        <v>1504</v>
      </c>
      <c r="B745" s="1">
        <v>45340</v>
      </c>
      <c r="C745" t="s">
        <v>1505</v>
      </c>
      <c r="D745" t="s">
        <v>17</v>
      </c>
      <c r="E745" t="s">
        <v>92</v>
      </c>
      <c r="F745" t="s">
        <v>60</v>
      </c>
      <c r="G745" t="s">
        <v>42</v>
      </c>
      <c r="H745" t="s">
        <v>118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t="s">
        <v>22</v>
      </c>
    </row>
    <row r="746" spans="1:15" x14ac:dyDescent="0.35">
      <c r="A746" t="s">
        <v>1506</v>
      </c>
      <c r="B746" s="1">
        <v>45340</v>
      </c>
      <c r="C746" t="s">
        <v>1507</v>
      </c>
      <c r="D746" t="s">
        <v>17</v>
      </c>
      <c r="E746" t="s">
        <v>37</v>
      </c>
      <c r="F746" t="s">
        <v>26</v>
      </c>
      <c r="G746" t="s">
        <v>69</v>
      </c>
      <c r="H746" t="s">
        <v>163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t="s">
        <v>22</v>
      </c>
    </row>
    <row r="747" spans="1:15" x14ac:dyDescent="0.35">
      <c r="A747" t="s">
        <v>1508</v>
      </c>
      <c r="B747" s="1">
        <v>45343</v>
      </c>
      <c r="C747" t="s">
        <v>1509</v>
      </c>
      <c r="D747" t="s">
        <v>17</v>
      </c>
      <c r="E747" t="s">
        <v>248</v>
      </c>
      <c r="F747" t="s">
        <v>26</v>
      </c>
      <c r="G747" t="s">
        <v>20</v>
      </c>
      <c r="H747" t="s">
        <v>264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t="s">
        <v>34</v>
      </c>
    </row>
    <row r="748" spans="1:15" x14ac:dyDescent="0.35">
      <c r="A748" t="s">
        <v>1510</v>
      </c>
      <c r="B748" s="1">
        <v>45343</v>
      </c>
      <c r="C748" t="s">
        <v>1511</v>
      </c>
      <c r="D748" t="s">
        <v>17</v>
      </c>
      <c r="E748" t="s">
        <v>31</v>
      </c>
      <c r="F748" t="s">
        <v>19</v>
      </c>
      <c r="G748" t="s">
        <v>69</v>
      </c>
      <c r="H748" t="s">
        <v>139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t="s">
        <v>39</v>
      </c>
    </row>
    <row r="749" spans="1:15" x14ac:dyDescent="0.35">
      <c r="A749" t="s">
        <v>1512</v>
      </c>
      <c r="B749" s="1">
        <v>45343</v>
      </c>
      <c r="C749" t="s">
        <v>1513</v>
      </c>
      <c r="D749" t="s">
        <v>49</v>
      </c>
      <c r="E749" t="s">
        <v>76</v>
      </c>
      <c r="F749" t="s">
        <v>26</v>
      </c>
      <c r="G749" t="s">
        <v>69</v>
      </c>
      <c r="H749" t="s">
        <v>196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t="s">
        <v>56</v>
      </c>
    </row>
    <row r="750" spans="1:15" x14ac:dyDescent="0.35">
      <c r="A750" t="s">
        <v>1514</v>
      </c>
      <c r="B750" s="1">
        <v>45343</v>
      </c>
      <c r="C750" t="s">
        <v>1515</v>
      </c>
      <c r="D750" t="s">
        <v>17</v>
      </c>
      <c r="E750" t="s">
        <v>18</v>
      </c>
      <c r="F750" t="s">
        <v>19</v>
      </c>
      <c r="G750" t="s">
        <v>42</v>
      </c>
      <c r="H750" t="s">
        <v>43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t="s">
        <v>34</v>
      </c>
    </row>
    <row r="751" spans="1:15" x14ac:dyDescent="0.35">
      <c r="A751" t="s">
        <v>1516</v>
      </c>
      <c r="B751" s="1">
        <v>45345</v>
      </c>
      <c r="C751" t="s">
        <v>1517</v>
      </c>
      <c r="D751" t="s">
        <v>30</v>
      </c>
      <c r="E751" t="s">
        <v>129</v>
      </c>
      <c r="F751" t="s">
        <v>19</v>
      </c>
      <c r="G751" t="s">
        <v>69</v>
      </c>
      <c r="H751" t="s">
        <v>196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t="s">
        <v>34</v>
      </c>
    </row>
    <row r="752" spans="1:15" x14ac:dyDescent="0.35">
      <c r="A752" t="s">
        <v>1518</v>
      </c>
      <c r="B752" s="1">
        <v>45347</v>
      </c>
      <c r="C752" t="s">
        <v>579</v>
      </c>
      <c r="D752" t="s">
        <v>30</v>
      </c>
      <c r="E752" t="s">
        <v>76</v>
      </c>
      <c r="F752" t="s">
        <v>26</v>
      </c>
      <c r="G752" t="s">
        <v>42</v>
      </c>
      <c r="H752" t="s">
        <v>118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t="s">
        <v>39</v>
      </c>
    </row>
    <row r="753" spans="1:15" x14ac:dyDescent="0.35">
      <c r="A753" t="s">
        <v>1519</v>
      </c>
      <c r="B753" s="1">
        <v>45349</v>
      </c>
      <c r="C753" t="s">
        <v>1520</v>
      </c>
      <c r="D753" t="s">
        <v>17</v>
      </c>
      <c r="E753" t="s">
        <v>248</v>
      </c>
      <c r="F753" t="s">
        <v>26</v>
      </c>
      <c r="G753" t="s">
        <v>20</v>
      </c>
      <c r="H753" t="s">
        <v>122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t="s">
        <v>39</v>
      </c>
    </row>
    <row r="754" spans="1:15" x14ac:dyDescent="0.35">
      <c r="A754" t="s">
        <v>1521</v>
      </c>
      <c r="B754" s="1">
        <v>45349</v>
      </c>
      <c r="C754" t="s">
        <v>1522</v>
      </c>
      <c r="D754" t="s">
        <v>30</v>
      </c>
      <c r="E754" t="s">
        <v>138</v>
      </c>
      <c r="F754" t="s">
        <v>54</v>
      </c>
      <c r="G754" t="s">
        <v>32</v>
      </c>
      <c r="H754" t="s">
        <v>101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t="s">
        <v>39</v>
      </c>
    </row>
    <row r="755" spans="1:15" x14ac:dyDescent="0.35">
      <c r="A755" t="s">
        <v>1523</v>
      </c>
      <c r="B755" s="1">
        <v>45349</v>
      </c>
      <c r="C755" t="s">
        <v>905</v>
      </c>
      <c r="D755" t="s">
        <v>30</v>
      </c>
      <c r="E755" t="s">
        <v>18</v>
      </c>
      <c r="F755" t="s">
        <v>19</v>
      </c>
      <c r="G755" t="s">
        <v>32</v>
      </c>
      <c r="H755" t="s">
        <v>110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t="s">
        <v>34</v>
      </c>
    </row>
    <row r="756" spans="1:15" x14ac:dyDescent="0.35">
      <c r="A756" t="s">
        <v>1524</v>
      </c>
      <c r="B756" s="1">
        <v>45353</v>
      </c>
      <c r="C756" t="s">
        <v>502</v>
      </c>
      <c r="D756" t="s">
        <v>17</v>
      </c>
      <c r="E756" t="s">
        <v>248</v>
      </c>
      <c r="F756" t="s">
        <v>26</v>
      </c>
      <c r="G756" t="s">
        <v>32</v>
      </c>
      <c r="H756" t="s">
        <v>348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t="s">
        <v>34</v>
      </c>
    </row>
    <row r="757" spans="1:15" x14ac:dyDescent="0.35">
      <c r="A757" t="s">
        <v>1525</v>
      </c>
      <c r="B757" s="1">
        <v>45354</v>
      </c>
      <c r="C757" t="s">
        <v>1526</v>
      </c>
      <c r="D757" t="s">
        <v>49</v>
      </c>
      <c r="E757" t="s">
        <v>37</v>
      </c>
      <c r="F757" t="s">
        <v>26</v>
      </c>
      <c r="G757" t="s">
        <v>42</v>
      </c>
      <c r="H757" t="s">
        <v>294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t="s">
        <v>22</v>
      </c>
    </row>
    <row r="758" spans="1:15" x14ac:dyDescent="0.35">
      <c r="A758" t="s">
        <v>1527</v>
      </c>
      <c r="B758" s="1">
        <v>45355</v>
      </c>
      <c r="C758" t="s">
        <v>770</v>
      </c>
      <c r="D758" t="s">
        <v>17</v>
      </c>
      <c r="E758" t="s">
        <v>92</v>
      </c>
      <c r="F758" t="s">
        <v>60</v>
      </c>
      <c r="G758" t="s">
        <v>32</v>
      </c>
      <c r="H758" t="s">
        <v>110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t="s">
        <v>22</v>
      </c>
    </row>
    <row r="759" spans="1:15" x14ac:dyDescent="0.35">
      <c r="A759" t="s">
        <v>1528</v>
      </c>
      <c r="B759" s="1">
        <v>45356</v>
      </c>
      <c r="C759" t="s">
        <v>946</v>
      </c>
      <c r="D759" t="s">
        <v>49</v>
      </c>
      <c r="E759" t="s">
        <v>129</v>
      </c>
      <c r="F759" t="s">
        <v>19</v>
      </c>
      <c r="G759" t="s">
        <v>32</v>
      </c>
      <c r="H759" t="s">
        <v>149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t="s">
        <v>34</v>
      </c>
    </row>
    <row r="760" spans="1:15" x14ac:dyDescent="0.35">
      <c r="A760" t="s">
        <v>1529</v>
      </c>
      <c r="B760" s="1">
        <v>45356</v>
      </c>
      <c r="C760" t="s">
        <v>1530</v>
      </c>
      <c r="D760" t="s">
        <v>30</v>
      </c>
      <c r="E760" t="s">
        <v>31</v>
      </c>
      <c r="F760" t="s">
        <v>19</v>
      </c>
      <c r="G760" t="s">
        <v>32</v>
      </c>
      <c r="H760" t="s">
        <v>101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t="s">
        <v>39</v>
      </c>
    </row>
    <row r="761" spans="1:15" x14ac:dyDescent="0.35">
      <c r="A761" t="s">
        <v>1531</v>
      </c>
      <c r="B761" s="1">
        <v>45356</v>
      </c>
      <c r="C761" t="s">
        <v>1532</v>
      </c>
      <c r="D761" t="s">
        <v>30</v>
      </c>
      <c r="E761" t="s">
        <v>18</v>
      </c>
      <c r="F761" t="s">
        <v>19</v>
      </c>
      <c r="G761" t="s">
        <v>69</v>
      </c>
      <c r="H761" t="s">
        <v>163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t="s">
        <v>56</v>
      </c>
    </row>
    <row r="762" spans="1:15" x14ac:dyDescent="0.35">
      <c r="A762" t="s">
        <v>1533</v>
      </c>
      <c r="B762" s="1">
        <v>45356</v>
      </c>
      <c r="C762" t="s">
        <v>1534</v>
      </c>
      <c r="D762" t="s">
        <v>17</v>
      </c>
      <c r="E762" t="s">
        <v>109</v>
      </c>
      <c r="F762" t="s">
        <v>54</v>
      </c>
      <c r="G762" t="s">
        <v>20</v>
      </c>
      <c r="H762" t="s">
        <v>21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t="s">
        <v>22</v>
      </c>
    </row>
    <row r="763" spans="1:15" x14ac:dyDescent="0.35">
      <c r="A763" t="s">
        <v>1535</v>
      </c>
      <c r="B763" s="1">
        <v>45357</v>
      </c>
      <c r="C763" t="s">
        <v>1536</v>
      </c>
      <c r="D763" t="s">
        <v>30</v>
      </c>
      <c r="E763" t="s">
        <v>59</v>
      </c>
      <c r="F763" t="s">
        <v>60</v>
      </c>
      <c r="G763" t="s">
        <v>20</v>
      </c>
      <c r="H763" t="s">
        <v>38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t="s">
        <v>22</v>
      </c>
    </row>
    <row r="764" spans="1:15" x14ac:dyDescent="0.35">
      <c r="A764" t="s">
        <v>1537</v>
      </c>
      <c r="B764" s="1">
        <v>45357</v>
      </c>
      <c r="C764" t="s">
        <v>1538</v>
      </c>
      <c r="D764" t="s">
        <v>17</v>
      </c>
      <c r="E764" t="s">
        <v>169</v>
      </c>
      <c r="F764" t="s">
        <v>68</v>
      </c>
      <c r="G764" t="s">
        <v>42</v>
      </c>
      <c r="H764" t="s">
        <v>64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t="s">
        <v>34</v>
      </c>
    </row>
    <row r="765" spans="1:15" x14ac:dyDescent="0.35">
      <c r="A765" t="s">
        <v>1539</v>
      </c>
      <c r="B765" s="1">
        <v>45358</v>
      </c>
      <c r="C765" t="s">
        <v>1540</v>
      </c>
      <c r="D765" t="s">
        <v>17</v>
      </c>
      <c r="E765" t="s">
        <v>59</v>
      </c>
      <c r="F765" t="s">
        <v>60</v>
      </c>
      <c r="G765" t="s">
        <v>69</v>
      </c>
      <c r="H765" t="s">
        <v>86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t="s">
        <v>34</v>
      </c>
    </row>
    <row r="766" spans="1:15" x14ac:dyDescent="0.35">
      <c r="A766" t="s">
        <v>1541</v>
      </c>
      <c r="B766" s="1">
        <v>45358</v>
      </c>
      <c r="C766" t="s">
        <v>1542</v>
      </c>
      <c r="D766" t="s">
        <v>30</v>
      </c>
      <c r="E766" t="s">
        <v>67</v>
      </c>
      <c r="F766" t="s">
        <v>68</v>
      </c>
      <c r="G766" t="s">
        <v>20</v>
      </c>
      <c r="H766" t="s">
        <v>175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t="s">
        <v>39</v>
      </c>
    </row>
    <row r="767" spans="1:15" x14ac:dyDescent="0.35">
      <c r="A767" t="s">
        <v>1543</v>
      </c>
      <c r="B767" s="1">
        <v>45358</v>
      </c>
      <c r="C767" t="s">
        <v>1133</v>
      </c>
      <c r="D767" t="s">
        <v>49</v>
      </c>
      <c r="E767" t="s">
        <v>59</v>
      </c>
      <c r="F767" t="s">
        <v>60</v>
      </c>
      <c r="G767" t="s">
        <v>42</v>
      </c>
      <c r="H767" t="s">
        <v>234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t="s">
        <v>56</v>
      </c>
    </row>
    <row r="768" spans="1:15" x14ac:dyDescent="0.35">
      <c r="A768" t="s">
        <v>1544</v>
      </c>
      <c r="B768" s="1">
        <v>45359</v>
      </c>
      <c r="C768" t="s">
        <v>1545</v>
      </c>
      <c r="D768" t="s">
        <v>30</v>
      </c>
      <c r="E768" t="s">
        <v>59</v>
      </c>
      <c r="F768" t="s">
        <v>60</v>
      </c>
      <c r="G768" t="s">
        <v>32</v>
      </c>
      <c r="H768" t="s">
        <v>115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t="s">
        <v>39</v>
      </c>
    </row>
    <row r="769" spans="1:15" x14ac:dyDescent="0.35">
      <c r="A769" t="s">
        <v>1546</v>
      </c>
      <c r="B769" s="1">
        <v>45359</v>
      </c>
      <c r="C769" t="s">
        <v>1547</v>
      </c>
      <c r="D769" t="s">
        <v>30</v>
      </c>
      <c r="E769" t="s">
        <v>76</v>
      </c>
      <c r="F769" t="s">
        <v>26</v>
      </c>
      <c r="G769" t="s">
        <v>20</v>
      </c>
      <c r="H769" t="s">
        <v>106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t="s">
        <v>56</v>
      </c>
    </row>
    <row r="770" spans="1:15" x14ac:dyDescent="0.35">
      <c r="A770" t="s">
        <v>1548</v>
      </c>
      <c r="B770" s="1">
        <v>45359</v>
      </c>
      <c r="C770" t="s">
        <v>1549</v>
      </c>
      <c r="D770" t="s">
        <v>30</v>
      </c>
      <c r="E770" t="s">
        <v>18</v>
      </c>
      <c r="F770" t="s">
        <v>19</v>
      </c>
      <c r="G770" t="s">
        <v>20</v>
      </c>
      <c r="H770" t="s">
        <v>264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t="s">
        <v>22</v>
      </c>
    </row>
    <row r="771" spans="1:15" x14ac:dyDescent="0.35">
      <c r="A771" t="s">
        <v>1550</v>
      </c>
      <c r="B771" s="1">
        <v>45360</v>
      </c>
      <c r="C771" t="s">
        <v>651</v>
      </c>
      <c r="D771" t="s">
        <v>30</v>
      </c>
      <c r="E771" t="s">
        <v>166</v>
      </c>
      <c r="F771" t="s">
        <v>60</v>
      </c>
      <c r="G771" t="s">
        <v>32</v>
      </c>
      <c r="H771" t="s">
        <v>82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t="s">
        <v>34</v>
      </c>
    </row>
    <row r="772" spans="1:15" x14ac:dyDescent="0.35">
      <c r="A772" t="s">
        <v>1551</v>
      </c>
      <c r="B772" s="1">
        <v>45361</v>
      </c>
      <c r="C772" t="s">
        <v>1552</v>
      </c>
      <c r="D772" t="s">
        <v>30</v>
      </c>
      <c r="E772" t="s">
        <v>53</v>
      </c>
      <c r="F772" t="s">
        <v>54</v>
      </c>
      <c r="G772" t="s">
        <v>32</v>
      </c>
      <c r="H772" t="s">
        <v>132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t="s">
        <v>34</v>
      </c>
    </row>
    <row r="773" spans="1:15" x14ac:dyDescent="0.35">
      <c r="A773" t="s">
        <v>1553</v>
      </c>
      <c r="B773" s="1">
        <v>45361</v>
      </c>
      <c r="C773" t="s">
        <v>1100</v>
      </c>
      <c r="D773" t="s">
        <v>30</v>
      </c>
      <c r="E773" t="s">
        <v>248</v>
      </c>
      <c r="F773" t="s">
        <v>26</v>
      </c>
      <c r="G773" t="s">
        <v>69</v>
      </c>
      <c r="H773" t="s">
        <v>196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t="s">
        <v>39</v>
      </c>
    </row>
    <row r="774" spans="1:15" x14ac:dyDescent="0.35">
      <c r="A774" t="s">
        <v>1554</v>
      </c>
      <c r="B774" s="1">
        <v>45361</v>
      </c>
      <c r="C774" t="s">
        <v>1555</v>
      </c>
      <c r="D774" t="s">
        <v>30</v>
      </c>
      <c r="E774" t="s">
        <v>135</v>
      </c>
      <c r="F774" t="s">
        <v>26</v>
      </c>
      <c r="G774" t="s">
        <v>20</v>
      </c>
      <c r="H774" t="s">
        <v>55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t="s">
        <v>22</v>
      </c>
    </row>
    <row r="775" spans="1:15" x14ac:dyDescent="0.35">
      <c r="A775" t="s">
        <v>1556</v>
      </c>
      <c r="B775" s="1">
        <v>45364</v>
      </c>
      <c r="C775" t="s">
        <v>1557</v>
      </c>
      <c r="D775" t="s">
        <v>17</v>
      </c>
      <c r="E775" t="s">
        <v>31</v>
      </c>
      <c r="F775" t="s">
        <v>19</v>
      </c>
      <c r="G775" t="s">
        <v>32</v>
      </c>
      <c r="H775" t="s">
        <v>149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t="s">
        <v>34</v>
      </c>
    </row>
    <row r="776" spans="1:15" x14ac:dyDescent="0.35">
      <c r="A776" t="s">
        <v>1558</v>
      </c>
      <c r="B776" s="1">
        <v>45364</v>
      </c>
      <c r="C776" t="s">
        <v>1559</v>
      </c>
      <c r="D776" t="s">
        <v>49</v>
      </c>
      <c r="E776" t="s">
        <v>59</v>
      </c>
      <c r="F776" t="s">
        <v>60</v>
      </c>
      <c r="G776" t="s">
        <v>20</v>
      </c>
      <c r="H776" t="s">
        <v>106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t="s">
        <v>39</v>
      </c>
    </row>
    <row r="777" spans="1:15" x14ac:dyDescent="0.35">
      <c r="A777" t="s">
        <v>1560</v>
      </c>
      <c r="B777" s="1">
        <v>45364</v>
      </c>
      <c r="C777" t="s">
        <v>1561</v>
      </c>
      <c r="D777" t="s">
        <v>49</v>
      </c>
      <c r="E777" t="s">
        <v>53</v>
      </c>
      <c r="F777" t="s">
        <v>54</v>
      </c>
      <c r="G777" t="s">
        <v>42</v>
      </c>
      <c r="H777" t="s">
        <v>294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t="s">
        <v>39</v>
      </c>
    </row>
    <row r="778" spans="1:15" x14ac:dyDescent="0.35">
      <c r="A778" t="s">
        <v>1562</v>
      </c>
      <c r="B778" s="1">
        <v>45367</v>
      </c>
      <c r="C778" t="s">
        <v>1563</v>
      </c>
      <c r="D778" t="s">
        <v>30</v>
      </c>
      <c r="E778" t="s">
        <v>63</v>
      </c>
      <c r="F778" t="s">
        <v>54</v>
      </c>
      <c r="G778" t="s">
        <v>20</v>
      </c>
      <c r="H778" t="s">
        <v>199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t="s">
        <v>22</v>
      </c>
    </row>
    <row r="779" spans="1:15" x14ac:dyDescent="0.35">
      <c r="A779" t="s">
        <v>1564</v>
      </c>
      <c r="B779" s="1">
        <v>45368</v>
      </c>
      <c r="C779" t="s">
        <v>1565</v>
      </c>
      <c r="D779" t="s">
        <v>49</v>
      </c>
      <c r="E779" t="s">
        <v>248</v>
      </c>
      <c r="F779" t="s">
        <v>26</v>
      </c>
      <c r="G779" t="s">
        <v>32</v>
      </c>
      <c r="H779" t="s">
        <v>50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t="s">
        <v>39</v>
      </c>
    </row>
    <row r="780" spans="1:15" x14ac:dyDescent="0.35">
      <c r="A780" t="s">
        <v>1566</v>
      </c>
      <c r="B780" s="1">
        <v>45368</v>
      </c>
      <c r="C780" t="s">
        <v>1567</v>
      </c>
      <c r="D780" t="s">
        <v>30</v>
      </c>
      <c r="E780" t="s">
        <v>67</v>
      </c>
      <c r="F780" t="s">
        <v>68</v>
      </c>
      <c r="G780" t="s">
        <v>42</v>
      </c>
      <c r="H780" t="s">
        <v>64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t="s">
        <v>22</v>
      </c>
    </row>
    <row r="781" spans="1:15" x14ac:dyDescent="0.35">
      <c r="A781" t="s">
        <v>1568</v>
      </c>
      <c r="B781" s="1">
        <v>45368</v>
      </c>
      <c r="C781" t="s">
        <v>1569</v>
      </c>
      <c r="D781" t="s">
        <v>30</v>
      </c>
      <c r="E781" t="s">
        <v>18</v>
      </c>
      <c r="F781" t="s">
        <v>19</v>
      </c>
      <c r="G781" t="s">
        <v>42</v>
      </c>
      <c r="H781" t="s">
        <v>294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t="s">
        <v>34</v>
      </c>
    </row>
    <row r="782" spans="1:15" x14ac:dyDescent="0.35">
      <c r="A782" t="s">
        <v>1570</v>
      </c>
      <c r="B782" s="1">
        <v>45369</v>
      </c>
      <c r="C782" t="s">
        <v>1571</v>
      </c>
      <c r="D782" t="s">
        <v>49</v>
      </c>
      <c r="E782" t="s">
        <v>148</v>
      </c>
      <c r="F782" t="s">
        <v>60</v>
      </c>
      <c r="G782" t="s">
        <v>20</v>
      </c>
      <c r="H782" t="s">
        <v>170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t="s">
        <v>22</v>
      </c>
    </row>
    <row r="783" spans="1:15" x14ac:dyDescent="0.35">
      <c r="A783" t="s">
        <v>1572</v>
      </c>
      <c r="B783" s="1">
        <v>45369</v>
      </c>
      <c r="C783" t="s">
        <v>1573</v>
      </c>
      <c r="D783" t="s">
        <v>30</v>
      </c>
      <c r="E783" t="s">
        <v>37</v>
      </c>
      <c r="F783" t="s">
        <v>26</v>
      </c>
      <c r="G783" t="s">
        <v>42</v>
      </c>
      <c r="H783" t="s">
        <v>234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t="s">
        <v>39</v>
      </c>
    </row>
    <row r="784" spans="1:15" x14ac:dyDescent="0.35">
      <c r="A784" t="s">
        <v>1574</v>
      </c>
      <c r="B784" s="1">
        <v>45370</v>
      </c>
      <c r="C784" t="s">
        <v>368</v>
      </c>
      <c r="D784" t="s">
        <v>17</v>
      </c>
      <c r="E784" t="s">
        <v>92</v>
      </c>
      <c r="F784" t="s">
        <v>60</v>
      </c>
      <c r="G784" t="s">
        <v>69</v>
      </c>
      <c r="H784" t="s">
        <v>163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t="s">
        <v>39</v>
      </c>
    </row>
    <row r="785" spans="1:15" x14ac:dyDescent="0.35">
      <c r="A785" t="s">
        <v>1575</v>
      </c>
      <c r="B785" s="1">
        <v>45370</v>
      </c>
      <c r="C785" t="s">
        <v>1576</v>
      </c>
      <c r="D785" t="s">
        <v>30</v>
      </c>
      <c r="E785" t="s">
        <v>85</v>
      </c>
      <c r="F785" t="s">
        <v>60</v>
      </c>
      <c r="G785" t="s">
        <v>69</v>
      </c>
      <c r="H785" t="s">
        <v>196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t="s">
        <v>34</v>
      </c>
    </row>
    <row r="786" spans="1:15" x14ac:dyDescent="0.35">
      <c r="A786" t="s">
        <v>1577</v>
      </c>
      <c r="B786" s="1">
        <v>45370</v>
      </c>
      <c r="C786" t="s">
        <v>1578</v>
      </c>
      <c r="D786" t="s">
        <v>17</v>
      </c>
      <c r="E786" t="s">
        <v>76</v>
      </c>
      <c r="F786" t="s">
        <v>26</v>
      </c>
      <c r="G786" t="s">
        <v>32</v>
      </c>
      <c r="H786" t="s">
        <v>110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t="s">
        <v>22</v>
      </c>
    </row>
    <row r="787" spans="1:15" x14ac:dyDescent="0.35">
      <c r="A787" t="s">
        <v>1579</v>
      </c>
      <c r="B787" s="1">
        <v>45372</v>
      </c>
      <c r="C787" t="s">
        <v>333</v>
      </c>
      <c r="D787" t="s">
        <v>30</v>
      </c>
      <c r="E787" t="s">
        <v>85</v>
      </c>
      <c r="F787" t="s">
        <v>60</v>
      </c>
      <c r="G787" t="s">
        <v>69</v>
      </c>
      <c r="H787" t="s">
        <v>86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t="s">
        <v>39</v>
      </c>
    </row>
    <row r="788" spans="1:15" x14ac:dyDescent="0.35">
      <c r="A788" t="s">
        <v>1580</v>
      </c>
      <c r="B788" s="1">
        <v>45378</v>
      </c>
      <c r="C788" t="s">
        <v>868</v>
      </c>
      <c r="D788" t="s">
        <v>17</v>
      </c>
      <c r="E788" t="s">
        <v>53</v>
      </c>
      <c r="F788" t="s">
        <v>54</v>
      </c>
      <c r="G788" t="s">
        <v>20</v>
      </c>
      <c r="H788" t="s">
        <v>264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t="s">
        <v>34</v>
      </c>
    </row>
    <row r="789" spans="1:15" x14ac:dyDescent="0.35">
      <c r="A789" t="s">
        <v>1581</v>
      </c>
      <c r="B789" s="1">
        <v>45378</v>
      </c>
      <c r="C789" t="s">
        <v>1582</v>
      </c>
      <c r="D789" t="s">
        <v>17</v>
      </c>
      <c r="E789" t="s">
        <v>248</v>
      </c>
      <c r="F789" t="s">
        <v>26</v>
      </c>
      <c r="G789" t="s">
        <v>20</v>
      </c>
      <c r="H789" t="s">
        <v>55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t="s">
        <v>34</v>
      </c>
    </row>
    <row r="790" spans="1:15" x14ac:dyDescent="0.35">
      <c r="A790" t="s">
        <v>1583</v>
      </c>
      <c r="B790" s="1">
        <v>45378</v>
      </c>
      <c r="C790" t="s">
        <v>1584</v>
      </c>
      <c r="D790" t="s">
        <v>30</v>
      </c>
      <c r="E790" t="s">
        <v>18</v>
      </c>
      <c r="F790" t="s">
        <v>19</v>
      </c>
      <c r="G790" t="s">
        <v>20</v>
      </c>
      <c r="H790" t="s">
        <v>122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t="s">
        <v>34</v>
      </c>
    </row>
    <row r="791" spans="1:15" x14ac:dyDescent="0.35">
      <c r="A791" t="s">
        <v>1585</v>
      </c>
      <c r="B791" s="1">
        <v>45378</v>
      </c>
      <c r="C791" t="s">
        <v>1586</v>
      </c>
      <c r="D791" t="s">
        <v>17</v>
      </c>
      <c r="E791" t="s">
        <v>63</v>
      </c>
      <c r="F791" t="s">
        <v>54</v>
      </c>
      <c r="G791" t="s">
        <v>42</v>
      </c>
      <c r="H791" t="s">
        <v>371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t="s">
        <v>39</v>
      </c>
    </row>
    <row r="792" spans="1:15" x14ac:dyDescent="0.35">
      <c r="A792" t="s">
        <v>1587</v>
      </c>
      <c r="B792" s="1">
        <v>45379</v>
      </c>
      <c r="C792" t="s">
        <v>1588</v>
      </c>
      <c r="D792" t="s">
        <v>49</v>
      </c>
      <c r="E792" t="s">
        <v>31</v>
      </c>
      <c r="F792" t="s">
        <v>19</v>
      </c>
      <c r="G792" t="s">
        <v>20</v>
      </c>
      <c r="H792" t="s">
        <v>170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t="s">
        <v>22</v>
      </c>
    </row>
    <row r="793" spans="1:15" x14ac:dyDescent="0.35">
      <c r="A793" t="s">
        <v>1589</v>
      </c>
      <c r="B793" s="1">
        <v>45379</v>
      </c>
      <c r="C793" t="s">
        <v>1590</v>
      </c>
      <c r="D793" t="s">
        <v>30</v>
      </c>
      <c r="E793" t="s">
        <v>121</v>
      </c>
      <c r="F793" t="s">
        <v>68</v>
      </c>
      <c r="G793" t="s">
        <v>42</v>
      </c>
      <c r="H793" t="s">
        <v>64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t="s">
        <v>56</v>
      </c>
    </row>
    <row r="794" spans="1:15" x14ac:dyDescent="0.35">
      <c r="A794" t="s">
        <v>1591</v>
      </c>
      <c r="B794" s="1">
        <v>45381</v>
      </c>
      <c r="C794" t="s">
        <v>1120</v>
      </c>
      <c r="D794" t="s">
        <v>17</v>
      </c>
      <c r="E794" t="s">
        <v>85</v>
      </c>
      <c r="F794" t="s">
        <v>60</v>
      </c>
      <c r="G794" t="s">
        <v>32</v>
      </c>
      <c r="H794" t="s">
        <v>115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t="s">
        <v>34</v>
      </c>
    </row>
    <row r="795" spans="1:15" x14ac:dyDescent="0.35">
      <c r="A795" t="s">
        <v>1592</v>
      </c>
      <c r="B795" s="1">
        <v>45381</v>
      </c>
      <c r="C795" t="s">
        <v>946</v>
      </c>
      <c r="D795" t="s">
        <v>17</v>
      </c>
      <c r="E795" t="s">
        <v>135</v>
      </c>
      <c r="F795" t="s">
        <v>26</v>
      </c>
      <c r="G795" t="s">
        <v>42</v>
      </c>
      <c r="H795" t="s">
        <v>371</v>
      </c>
      <c r="I795">
        <v>6</v>
      </c>
      <c r="J795">
        <v>203.47</v>
      </c>
      <c r="K795">
        <v>10</v>
      </c>
      <c r="L795">
        <v>1098.74</v>
      </c>
      <c r="M795">
        <v>13.13</v>
      </c>
      <c r="N795">
        <v>353.12</v>
      </c>
      <c r="O795" t="s">
        <v>34</v>
      </c>
    </row>
    <row r="796" spans="1:15" x14ac:dyDescent="0.35">
      <c r="A796" t="s">
        <v>1593</v>
      </c>
      <c r="B796" s="1">
        <v>45382</v>
      </c>
      <c r="C796" t="s">
        <v>1594</v>
      </c>
      <c r="D796" t="s">
        <v>49</v>
      </c>
      <c r="E796" t="s">
        <v>121</v>
      </c>
      <c r="F796" t="s">
        <v>68</v>
      </c>
      <c r="G796" t="s">
        <v>69</v>
      </c>
      <c r="H796" t="s">
        <v>160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t="s">
        <v>39</v>
      </c>
    </row>
    <row r="797" spans="1:15" x14ac:dyDescent="0.35">
      <c r="A797" t="s">
        <v>1595</v>
      </c>
      <c r="B797" s="1">
        <v>45382</v>
      </c>
      <c r="C797" t="s">
        <v>114</v>
      </c>
      <c r="D797" t="s">
        <v>49</v>
      </c>
      <c r="E797" t="s">
        <v>129</v>
      </c>
      <c r="F797" t="s">
        <v>19</v>
      </c>
      <c r="G797" t="s">
        <v>32</v>
      </c>
      <c r="H797" t="s">
        <v>115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t="s">
        <v>22</v>
      </c>
    </row>
    <row r="798" spans="1:15" x14ac:dyDescent="0.35">
      <c r="A798" t="s">
        <v>1596</v>
      </c>
      <c r="B798" s="1">
        <v>45382</v>
      </c>
      <c r="C798" t="s">
        <v>748</v>
      </c>
      <c r="D798" t="s">
        <v>30</v>
      </c>
      <c r="E798" t="s">
        <v>248</v>
      </c>
      <c r="F798" t="s">
        <v>26</v>
      </c>
      <c r="G798" t="s">
        <v>32</v>
      </c>
      <c r="H798" t="s">
        <v>82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t="s">
        <v>39</v>
      </c>
    </row>
    <row r="799" spans="1:15" x14ac:dyDescent="0.35">
      <c r="A799" t="s">
        <v>1597</v>
      </c>
      <c r="B799" s="1">
        <v>45382</v>
      </c>
      <c r="C799" t="s">
        <v>1598</v>
      </c>
      <c r="D799" t="s">
        <v>30</v>
      </c>
      <c r="E799" t="s">
        <v>92</v>
      </c>
      <c r="F799" t="s">
        <v>60</v>
      </c>
      <c r="G799" t="s">
        <v>20</v>
      </c>
      <c r="H799" t="s">
        <v>199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t="s">
        <v>39</v>
      </c>
    </row>
    <row r="800" spans="1:15" x14ac:dyDescent="0.35">
      <c r="A800" t="s">
        <v>1599</v>
      </c>
      <c r="B800" s="1">
        <v>45383</v>
      </c>
      <c r="C800" t="s">
        <v>1600</v>
      </c>
      <c r="D800" t="s">
        <v>49</v>
      </c>
      <c r="E800" t="s">
        <v>25</v>
      </c>
      <c r="F800" t="s">
        <v>26</v>
      </c>
      <c r="G800" t="s">
        <v>20</v>
      </c>
      <c r="H800" t="s">
        <v>21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t="s">
        <v>39</v>
      </c>
    </row>
    <row r="801" spans="1:15" x14ac:dyDescent="0.35">
      <c r="A801" t="s">
        <v>1601</v>
      </c>
      <c r="B801" s="1">
        <v>45385</v>
      </c>
      <c r="C801" t="s">
        <v>1602</v>
      </c>
      <c r="D801" t="s">
        <v>17</v>
      </c>
      <c r="E801" t="s">
        <v>248</v>
      </c>
      <c r="F801" t="s">
        <v>26</v>
      </c>
      <c r="G801" t="s">
        <v>69</v>
      </c>
      <c r="H801" t="s">
        <v>79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t="s">
        <v>56</v>
      </c>
    </row>
    <row r="802" spans="1:15" x14ac:dyDescent="0.35">
      <c r="A802" t="s">
        <v>1603</v>
      </c>
      <c r="B802" s="1">
        <v>45385</v>
      </c>
      <c r="C802" t="s">
        <v>1604</v>
      </c>
      <c r="D802" t="s">
        <v>30</v>
      </c>
      <c r="E802" t="s">
        <v>85</v>
      </c>
      <c r="F802" t="s">
        <v>60</v>
      </c>
      <c r="G802" t="s">
        <v>20</v>
      </c>
      <c r="H802" t="s">
        <v>21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t="s">
        <v>34</v>
      </c>
    </row>
    <row r="803" spans="1:15" x14ac:dyDescent="0.35">
      <c r="A803" t="s">
        <v>1605</v>
      </c>
      <c r="B803" s="1">
        <v>45385</v>
      </c>
      <c r="C803" t="s">
        <v>1606</v>
      </c>
      <c r="D803" t="s">
        <v>17</v>
      </c>
      <c r="E803" t="s">
        <v>37</v>
      </c>
      <c r="F803" t="s">
        <v>26</v>
      </c>
      <c r="G803" t="s">
        <v>32</v>
      </c>
      <c r="H803" t="s">
        <v>110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t="s">
        <v>39</v>
      </c>
    </row>
    <row r="804" spans="1:15" x14ac:dyDescent="0.35">
      <c r="A804" t="s">
        <v>1607</v>
      </c>
      <c r="B804" s="1">
        <v>45386</v>
      </c>
      <c r="C804" t="s">
        <v>1608</v>
      </c>
      <c r="D804" t="s">
        <v>17</v>
      </c>
      <c r="E804" t="s">
        <v>148</v>
      </c>
      <c r="F804" t="s">
        <v>60</v>
      </c>
      <c r="G804" t="s">
        <v>32</v>
      </c>
      <c r="H804" t="s">
        <v>82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t="s">
        <v>39</v>
      </c>
    </row>
    <row r="805" spans="1:15" x14ac:dyDescent="0.35">
      <c r="A805" t="s">
        <v>1609</v>
      </c>
      <c r="B805" s="1">
        <v>45386</v>
      </c>
      <c r="C805" t="s">
        <v>1610</v>
      </c>
      <c r="D805" t="s">
        <v>17</v>
      </c>
      <c r="E805" t="s">
        <v>85</v>
      </c>
      <c r="F805" t="s">
        <v>60</v>
      </c>
      <c r="G805" t="s">
        <v>32</v>
      </c>
      <c r="H805" t="s">
        <v>132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t="s">
        <v>22</v>
      </c>
    </row>
    <row r="806" spans="1:15" x14ac:dyDescent="0.35">
      <c r="A806" t="s">
        <v>1611</v>
      </c>
      <c r="B806" s="1">
        <v>45386</v>
      </c>
      <c r="C806" t="s">
        <v>1612</v>
      </c>
      <c r="D806" t="s">
        <v>30</v>
      </c>
      <c r="E806" t="s">
        <v>166</v>
      </c>
      <c r="F806" t="s">
        <v>60</v>
      </c>
      <c r="G806" t="s">
        <v>20</v>
      </c>
      <c r="H806" t="s">
        <v>122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t="s">
        <v>39</v>
      </c>
    </row>
    <row r="807" spans="1:15" x14ac:dyDescent="0.35">
      <c r="A807" t="s">
        <v>1613</v>
      </c>
      <c r="B807" s="1">
        <v>45386</v>
      </c>
      <c r="C807" t="s">
        <v>487</v>
      </c>
      <c r="D807" t="s">
        <v>30</v>
      </c>
      <c r="E807" t="s">
        <v>248</v>
      </c>
      <c r="F807" t="s">
        <v>26</v>
      </c>
      <c r="G807" t="s">
        <v>69</v>
      </c>
      <c r="H807" t="s">
        <v>139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t="s">
        <v>34</v>
      </c>
    </row>
    <row r="808" spans="1:15" x14ac:dyDescent="0.35">
      <c r="A808" t="s">
        <v>1614</v>
      </c>
      <c r="B808" s="1">
        <v>45387</v>
      </c>
      <c r="C808" t="s">
        <v>174</v>
      </c>
      <c r="D808" t="s">
        <v>17</v>
      </c>
      <c r="E808" t="s">
        <v>85</v>
      </c>
      <c r="F808" t="s">
        <v>60</v>
      </c>
      <c r="G808" t="s">
        <v>69</v>
      </c>
      <c r="H808" t="s">
        <v>163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t="s">
        <v>56</v>
      </c>
    </row>
    <row r="809" spans="1:15" x14ac:dyDescent="0.35">
      <c r="A809" t="s">
        <v>1615</v>
      </c>
      <c r="B809" s="1">
        <v>45387</v>
      </c>
      <c r="C809" t="s">
        <v>1616</v>
      </c>
      <c r="D809" t="s">
        <v>49</v>
      </c>
      <c r="E809" t="s">
        <v>31</v>
      </c>
      <c r="F809" t="s">
        <v>19</v>
      </c>
      <c r="G809" t="s">
        <v>32</v>
      </c>
      <c r="H809" t="s">
        <v>50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t="s">
        <v>34</v>
      </c>
    </row>
    <row r="810" spans="1:15" x14ac:dyDescent="0.35">
      <c r="A810" t="s">
        <v>1617</v>
      </c>
      <c r="B810" s="1">
        <v>45387</v>
      </c>
      <c r="C810" t="s">
        <v>1618</v>
      </c>
      <c r="D810" t="s">
        <v>30</v>
      </c>
      <c r="E810" t="s">
        <v>31</v>
      </c>
      <c r="F810" t="s">
        <v>19</v>
      </c>
      <c r="G810" t="s">
        <v>20</v>
      </c>
      <c r="H810" t="s">
        <v>38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t="s">
        <v>34</v>
      </c>
    </row>
    <row r="811" spans="1:15" x14ac:dyDescent="0.35">
      <c r="A811" t="s">
        <v>1619</v>
      </c>
      <c r="B811" s="1">
        <v>45388</v>
      </c>
      <c r="C811" t="s">
        <v>189</v>
      </c>
      <c r="D811" t="s">
        <v>30</v>
      </c>
      <c r="E811" t="s">
        <v>248</v>
      </c>
      <c r="F811" t="s">
        <v>26</v>
      </c>
      <c r="G811" t="s">
        <v>20</v>
      </c>
      <c r="H811" t="s">
        <v>170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t="s">
        <v>34</v>
      </c>
    </row>
    <row r="812" spans="1:15" x14ac:dyDescent="0.35">
      <c r="A812" t="s">
        <v>1620</v>
      </c>
      <c r="B812" s="1">
        <v>45388</v>
      </c>
      <c r="C812" t="s">
        <v>1621</v>
      </c>
      <c r="D812" t="s">
        <v>30</v>
      </c>
      <c r="E812" t="s">
        <v>31</v>
      </c>
      <c r="F812" t="s">
        <v>19</v>
      </c>
      <c r="G812" t="s">
        <v>32</v>
      </c>
      <c r="H812" t="s">
        <v>33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t="s">
        <v>22</v>
      </c>
    </row>
    <row r="813" spans="1:15" x14ac:dyDescent="0.35">
      <c r="A813" t="s">
        <v>1622</v>
      </c>
      <c r="B813" s="1">
        <v>45388</v>
      </c>
      <c r="C813" t="s">
        <v>807</v>
      </c>
      <c r="D813" t="s">
        <v>30</v>
      </c>
      <c r="E813" t="s">
        <v>18</v>
      </c>
      <c r="F813" t="s">
        <v>19</v>
      </c>
      <c r="G813" t="s">
        <v>32</v>
      </c>
      <c r="H813" t="s">
        <v>149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t="s">
        <v>34</v>
      </c>
    </row>
    <row r="814" spans="1:15" x14ac:dyDescent="0.35">
      <c r="A814" t="s">
        <v>1623</v>
      </c>
      <c r="B814" s="1">
        <v>45388</v>
      </c>
      <c r="C814" t="s">
        <v>1624</v>
      </c>
      <c r="D814" t="s">
        <v>30</v>
      </c>
      <c r="E814" t="s">
        <v>135</v>
      </c>
      <c r="F814" t="s">
        <v>26</v>
      </c>
      <c r="G814" t="s">
        <v>32</v>
      </c>
      <c r="H814" t="s">
        <v>73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t="s">
        <v>34</v>
      </c>
    </row>
    <row r="815" spans="1:15" x14ac:dyDescent="0.35">
      <c r="A815" t="s">
        <v>1625</v>
      </c>
      <c r="B815" s="1">
        <v>45389</v>
      </c>
      <c r="C815" t="s">
        <v>1626</v>
      </c>
      <c r="D815" t="s">
        <v>30</v>
      </c>
      <c r="E815" t="s">
        <v>169</v>
      </c>
      <c r="F815" t="s">
        <v>68</v>
      </c>
      <c r="G815" t="s">
        <v>69</v>
      </c>
      <c r="H815" t="s">
        <v>305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t="s">
        <v>34</v>
      </c>
    </row>
    <row r="816" spans="1:15" x14ac:dyDescent="0.35">
      <c r="A816" t="s">
        <v>1627</v>
      </c>
      <c r="B816" s="1">
        <v>45389</v>
      </c>
      <c r="C816" t="s">
        <v>1628</v>
      </c>
      <c r="D816" t="s">
        <v>30</v>
      </c>
      <c r="E816" t="s">
        <v>85</v>
      </c>
      <c r="F816" t="s">
        <v>60</v>
      </c>
      <c r="G816" t="s">
        <v>69</v>
      </c>
      <c r="H816" t="s">
        <v>79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t="s">
        <v>34</v>
      </c>
    </row>
    <row r="817" spans="1:15" x14ac:dyDescent="0.35">
      <c r="A817" t="s">
        <v>1629</v>
      </c>
      <c r="B817" s="1">
        <v>45390</v>
      </c>
      <c r="C817" t="s">
        <v>1630</v>
      </c>
      <c r="D817" t="s">
        <v>49</v>
      </c>
      <c r="E817" t="s">
        <v>248</v>
      </c>
      <c r="F817" t="s">
        <v>26</v>
      </c>
      <c r="G817" t="s">
        <v>69</v>
      </c>
      <c r="H817" t="s">
        <v>196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t="s">
        <v>34</v>
      </c>
    </row>
    <row r="818" spans="1:15" x14ac:dyDescent="0.35">
      <c r="A818" t="s">
        <v>1631</v>
      </c>
      <c r="B818" s="1">
        <v>45390</v>
      </c>
      <c r="C818" t="s">
        <v>1632</v>
      </c>
      <c r="D818" t="s">
        <v>30</v>
      </c>
      <c r="E818" t="s">
        <v>148</v>
      </c>
      <c r="F818" t="s">
        <v>60</v>
      </c>
      <c r="G818" t="s">
        <v>69</v>
      </c>
      <c r="H818" t="s">
        <v>243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t="s">
        <v>34</v>
      </c>
    </row>
    <row r="819" spans="1:15" x14ac:dyDescent="0.35">
      <c r="A819" t="s">
        <v>1633</v>
      </c>
      <c r="B819" s="1">
        <v>45390</v>
      </c>
      <c r="C819" t="s">
        <v>1634</v>
      </c>
      <c r="D819" t="s">
        <v>30</v>
      </c>
      <c r="E819" t="s">
        <v>18</v>
      </c>
      <c r="F819" t="s">
        <v>19</v>
      </c>
      <c r="G819" t="s">
        <v>32</v>
      </c>
      <c r="H819" t="s">
        <v>115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t="s">
        <v>34</v>
      </c>
    </row>
    <row r="820" spans="1:15" x14ac:dyDescent="0.35">
      <c r="A820" t="s">
        <v>1635</v>
      </c>
      <c r="B820" s="1">
        <v>45391</v>
      </c>
      <c r="C820" t="s">
        <v>1636</v>
      </c>
      <c r="D820" t="s">
        <v>30</v>
      </c>
      <c r="E820" t="s">
        <v>18</v>
      </c>
      <c r="F820" t="s">
        <v>19</v>
      </c>
      <c r="G820" t="s">
        <v>42</v>
      </c>
      <c r="H820" t="s">
        <v>43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t="s">
        <v>39</v>
      </c>
    </row>
    <row r="821" spans="1:15" x14ac:dyDescent="0.35">
      <c r="A821" t="s">
        <v>1637</v>
      </c>
      <c r="B821" s="1">
        <v>45391</v>
      </c>
      <c r="C821" t="s">
        <v>1638</v>
      </c>
      <c r="D821" t="s">
        <v>49</v>
      </c>
      <c r="E821" t="s">
        <v>18</v>
      </c>
      <c r="F821" t="s">
        <v>19</v>
      </c>
      <c r="G821" t="s">
        <v>69</v>
      </c>
      <c r="H821" t="s">
        <v>98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t="s">
        <v>34</v>
      </c>
    </row>
    <row r="822" spans="1:15" x14ac:dyDescent="0.35">
      <c r="A822" t="s">
        <v>1639</v>
      </c>
      <c r="B822" s="1">
        <v>45392</v>
      </c>
      <c r="C822" t="s">
        <v>1640</v>
      </c>
      <c r="D822" t="s">
        <v>17</v>
      </c>
      <c r="E822" t="s">
        <v>53</v>
      </c>
      <c r="F822" t="s">
        <v>54</v>
      </c>
      <c r="G822" t="s">
        <v>32</v>
      </c>
      <c r="H822" t="s">
        <v>33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t="s">
        <v>39</v>
      </c>
    </row>
    <row r="823" spans="1:15" x14ac:dyDescent="0.35">
      <c r="A823" t="s">
        <v>1641</v>
      </c>
      <c r="B823" s="1">
        <v>45392</v>
      </c>
      <c r="C823" t="s">
        <v>128</v>
      </c>
      <c r="D823" t="s">
        <v>30</v>
      </c>
      <c r="E823" t="s">
        <v>166</v>
      </c>
      <c r="F823" t="s">
        <v>60</v>
      </c>
      <c r="G823" t="s">
        <v>20</v>
      </c>
      <c r="H823" t="s">
        <v>199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t="s">
        <v>34</v>
      </c>
    </row>
    <row r="824" spans="1:15" x14ac:dyDescent="0.35">
      <c r="A824" t="s">
        <v>1642</v>
      </c>
      <c r="B824" s="1">
        <v>45392</v>
      </c>
      <c r="C824" t="s">
        <v>1643</v>
      </c>
      <c r="D824" t="s">
        <v>49</v>
      </c>
      <c r="E824" t="s">
        <v>59</v>
      </c>
      <c r="F824" t="s">
        <v>60</v>
      </c>
      <c r="G824" t="s">
        <v>20</v>
      </c>
      <c r="H824" t="s">
        <v>199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t="s">
        <v>34</v>
      </c>
    </row>
    <row r="825" spans="1:15" x14ac:dyDescent="0.35">
      <c r="A825" t="s">
        <v>1644</v>
      </c>
      <c r="B825" s="1">
        <v>45392</v>
      </c>
      <c r="C825" t="s">
        <v>1645</v>
      </c>
      <c r="D825" t="s">
        <v>30</v>
      </c>
      <c r="E825" t="s">
        <v>76</v>
      </c>
      <c r="F825" t="s">
        <v>26</v>
      </c>
      <c r="G825" t="s">
        <v>20</v>
      </c>
      <c r="H825" t="s">
        <v>264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t="s">
        <v>39</v>
      </c>
    </row>
    <row r="826" spans="1:15" x14ac:dyDescent="0.35">
      <c r="A826" t="s">
        <v>1646</v>
      </c>
      <c r="B826" s="1">
        <v>45393</v>
      </c>
      <c r="C826" t="s">
        <v>1647</v>
      </c>
      <c r="D826" t="s">
        <v>17</v>
      </c>
      <c r="E826" t="s">
        <v>148</v>
      </c>
      <c r="F826" t="s">
        <v>60</v>
      </c>
      <c r="G826" t="s">
        <v>69</v>
      </c>
      <c r="H826" t="s">
        <v>305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t="s">
        <v>39</v>
      </c>
    </row>
    <row r="827" spans="1:15" x14ac:dyDescent="0.35">
      <c r="A827" t="s">
        <v>1648</v>
      </c>
      <c r="B827" s="1">
        <v>45395</v>
      </c>
      <c r="C827" t="s">
        <v>1649</v>
      </c>
      <c r="D827" t="s">
        <v>30</v>
      </c>
      <c r="E827" t="s">
        <v>76</v>
      </c>
      <c r="F827" t="s">
        <v>26</v>
      </c>
      <c r="G827" t="s">
        <v>20</v>
      </c>
      <c r="H827" t="s">
        <v>170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t="s">
        <v>22</v>
      </c>
    </row>
    <row r="828" spans="1:15" x14ac:dyDescent="0.35">
      <c r="A828" t="s">
        <v>1650</v>
      </c>
      <c r="B828" s="1">
        <v>45396</v>
      </c>
      <c r="C828" t="s">
        <v>1651</v>
      </c>
      <c r="D828" t="s">
        <v>30</v>
      </c>
      <c r="E828" t="s">
        <v>85</v>
      </c>
      <c r="F828" t="s">
        <v>60</v>
      </c>
      <c r="G828" t="s">
        <v>69</v>
      </c>
      <c r="H828" t="s">
        <v>98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t="s">
        <v>56</v>
      </c>
    </row>
    <row r="829" spans="1:15" x14ac:dyDescent="0.35">
      <c r="A829" t="s">
        <v>1652</v>
      </c>
      <c r="B829" s="1">
        <v>45396</v>
      </c>
      <c r="C829" t="s">
        <v>1653</v>
      </c>
      <c r="D829" t="s">
        <v>30</v>
      </c>
      <c r="E829" t="s">
        <v>109</v>
      </c>
      <c r="F829" t="s">
        <v>54</v>
      </c>
      <c r="G829" t="s">
        <v>32</v>
      </c>
      <c r="H829" t="s">
        <v>132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t="s">
        <v>22</v>
      </c>
    </row>
    <row r="830" spans="1:15" x14ac:dyDescent="0.35">
      <c r="A830" t="s">
        <v>1654</v>
      </c>
      <c r="B830" s="1">
        <v>45396</v>
      </c>
      <c r="C830" t="s">
        <v>1655</v>
      </c>
      <c r="D830" t="s">
        <v>30</v>
      </c>
      <c r="E830" t="s">
        <v>92</v>
      </c>
      <c r="F830" t="s">
        <v>60</v>
      </c>
      <c r="G830" t="s">
        <v>32</v>
      </c>
      <c r="H830" t="s">
        <v>348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t="s">
        <v>39</v>
      </c>
    </row>
    <row r="831" spans="1:15" x14ac:dyDescent="0.35">
      <c r="A831" t="s">
        <v>1656</v>
      </c>
      <c r="B831" s="1">
        <v>45397</v>
      </c>
      <c r="C831" t="s">
        <v>1657</v>
      </c>
      <c r="D831" t="s">
        <v>17</v>
      </c>
      <c r="E831" t="s">
        <v>169</v>
      </c>
      <c r="F831" t="s">
        <v>68</v>
      </c>
      <c r="G831" t="s">
        <v>20</v>
      </c>
      <c r="H831" t="s">
        <v>199</v>
      </c>
      <c r="I831">
        <v>14</v>
      </c>
      <c r="J831">
        <v>118.27</v>
      </c>
      <c r="K831">
        <v>10</v>
      </c>
      <c r="L831">
        <v>1490.2</v>
      </c>
      <c r="M831">
        <v>40.44</v>
      </c>
      <c r="N831">
        <v>539.08000000000004</v>
      </c>
      <c r="O831" t="s">
        <v>34</v>
      </c>
    </row>
    <row r="832" spans="1:15" x14ac:dyDescent="0.35">
      <c r="A832" t="s">
        <v>1658</v>
      </c>
      <c r="B832" s="1">
        <v>45397</v>
      </c>
      <c r="C832" t="s">
        <v>1659</v>
      </c>
      <c r="D832" t="s">
        <v>49</v>
      </c>
      <c r="E832" t="s">
        <v>92</v>
      </c>
      <c r="F832" t="s">
        <v>60</v>
      </c>
      <c r="G832" t="s">
        <v>20</v>
      </c>
      <c r="H832" t="s">
        <v>106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t="s">
        <v>34</v>
      </c>
    </row>
    <row r="833" spans="1:15" x14ac:dyDescent="0.35">
      <c r="A833" t="s">
        <v>1660</v>
      </c>
      <c r="B833" s="1">
        <v>45398</v>
      </c>
      <c r="C833" t="s">
        <v>427</v>
      </c>
      <c r="D833" t="s">
        <v>17</v>
      </c>
      <c r="E833" t="s">
        <v>138</v>
      </c>
      <c r="F833" t="s">
        <v>54</v>
      </c>
      <c r="G833" t="s">
        <v>32</v>
      </c>
      <c r="H833" t="s">
        <v>101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t="s">
        <v>56</v>
      </c>
    </row>
    <row r="834" spans="1:15" x14ac:dyDescent="0.35">
      <c r="A834" t="s">
        <v>1661</v>
      </c>
      <c r="B834" s="1">
        <v>45398</v>
      </c>
      <c r="C834" t="s">
        <v>496</v>
      </c>
      <c r="D834" t="s">
        <v>17</v>
      </c>
      <c r="E834" t="s">
        <v>248</v>
      </c>
      <c r="F834" t="s">
        <v>26</v>
      </c>
      <c r="G834" t="s">
        <v>32</v>
      </c>
      <c r="H834" t="s">
        <v>101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t="s">
        <v>22</v>
      </c>
    </row>
    <row r="835" spans="1:15" x14ac:dyDescent="0.35">
      <c r="A835" t="s">
        <v>1662</v>
      </c>
      <c r="B835" s="1">
        <v>45398</v>
      </c>
      <c r="C835" t="s">
        <v>1663</v>
      </c>
      <c r="D835" t="s">
        <v>17</v>
      </c>
      <c r="E835" t="s">
        <v>135</v>
      </c>
      <c r="F835" t="s">
        <v>26</v>
      </c>
      <c r="G835" t="s">
        <v>32</v>
      </c>
      <c r="H835" t="s">
        <v>82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t="s">
        <v>22</v>
      </c>
    </row>
    <row r="836" spans="1:15" x14ac:dyDescent="0.35">
      <c r="A836" t="s">
        <v>1664</v>
      </c>
      <c r="B836" s="1">
        <v>45400</v>
      </c>
      <c r="C836" t="s">
        <v>1665</v>
      </c>
      <c r="D836" t="s">
        <v>30</v>
      </c>
      <c r="E836" t="s">
        <v>31</v>
      </c>
      <c r="F836" t="s">
        <v>19</v>
      </c>
      <c r="G836" t="s">
        <v>20</v>
      </c>
      <c r="H836" t="s">
        <v>170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t="s">
        <v>39</v>
      </c>
    </row>
    <row r="837" spans="1:15" x14ac:dyDescent="0.35">
      <c r="A837" t="s">
        <v>1666</v>
      </c>
      <c r="B837" s="1">
        <v>45400</v>
      </c>
      <c r="C837" t="s">
        <v>1667</v>
      </c>
      <c r="D837" t="s">
        <v>30</v>
      </c>
      <c r="E837" t="s">
        <v>248</v>
      </c>
      <c r="F837" t="s">
        <v>26</v>
      </c>
      <c r="G837" t="s">
        <v>32</v>
      </c>
      <c r="H837" t="s">
        <v>82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t="s">
        <v>34</v>
      </c>
    </row>
    <row r="838" spans="1:15" x14ac:dyDescent="0.35">
      <c r="A838" t="s">
        <v>1668</v>
      </c>
      <c r="B838" s="1">
        <v>45400</v>
      </c>
      <c r="C838" t="s">
        <v>1669</v>
      </c>
      <c r="D838" t="s">
        <v>30</v>
      </c>
      <c r="E838" t="s">
        <v>59</v>
      </c>
      <c r="F838" t="s">
        <v>60</v>
      </c>
      <c r="G838" t="s">
        <v>42</v>
      </c>
      <c r="H838" t="s">
        <v>93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t="s">
        <v>39</v>
      </c>
    </row>
    <row r="839" spans="1:15" x14ac:dyDescent="0.35">
      <c r="A839" t="s">
        <v>1670</v>
      </c>
      <c r="B839" s="1">
        <v>45401</v>
      </c>
      <c r="C839" t="s">
        <v>1671</v>
      </c>
      <c r="D839" t="s">
        <v>30</v>
      </c>
      <c r="E839" t="s">
        <v>148</v>
      </c>
      <c r="F839" t="s">
        <v>60</v>
      </c>
      <c r="G839" t="s">
        <v>32</v>
      </c>
      <c r="H839" t="s">
        <v>50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t="s">
        <v>34</v>
      </c>
    </row>
    <row r="840" spans="1:15" x14ac:dyDescent="0.35">
      <c r="A840" t="s">
        <v>1672</v>
      </c>
      <c r="B840" s="1">
        <v>45401</v>
      </c>
      <c r="C840" t="s">
        <v>1673</v>
      </c>
      <c r="D840" t="s">
        <v>17</v>
      </c>
      <c r="E840" t="s">
        <v>92</v>
      </c>
      <c r="F840" t="s">
        <v>60</v>
      </c>
      <c r="G840" t="s">
        <v>69</v>
      </c>
      <c r="H840" t="s">
        <v>243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t="s">
        <v>39</v>
      </c>
    </row>
    <row r="841" spans="1:15" x14ac:dyDescent="0.35">
      <c r="A841" t="s">
        <v>1674</v>
      </c>
      <c r="B841" s="1">
        <v>45402</v>
      </c>
      <c r="C841" t="s">
        <v>1675</v>
      </c>
      <c r="D841" t="s">
        <v>30</v>
      </c>
      <c r="E841" t="s">
        <v>148</v>
      </c>
      <c r="F841" t="s">
        <v>60</v>
      </c>
      <c r="G841" t="s">
        <v>20</v>
      </c>
      <c r="H841" t="s">
        <v>27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t="s">
        <v>56</v>
      </c>
    </row>
    <row r="842" spans="1:15" x14ac:dyDescent="0.35">
      <c r="A842" t="s">
        <v>1676</v>
      </c>
      <c r="B842" s="1">
        <v>45402</v>
      </c>
      <c r="C842" t="s">
        <v>321</v>
      </c>
      <c r="D842" t="s">
        <v>49</v>
      </c>
      <c r="E842" t="s">
        <v>248</v>
      </c>
      <c r="F842" t="s">
        <v>26</v>
      </c>
      <c r="G842" t="s">
        <v>32</v>
      </c>
      <c r="H842" t="s">
        <v>82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t="s">
        <v>39</v>
      </c>
    </row>
    <row r="843" spans="1:15" x14ac:dyDescent="0.35">
      <c r="A843" t="s">
        <v>1677</v>
      </c>
      <c r="B843" s="1">
        <v>45403</v>
      </c>
      <c r="C843" t="s">
        <v>1678</v>
      </c>
      <c r="D843" t="s">
        <v>49</v>
      </c>
      <c r="E843" t="s">
        <v>248</v>
      </c>
      <c r="F843" t="s">
        <v>26</v>
      </c>
      <c r="G843" t="s">
        <v>69</v>
      </c>
      <c r="H843" t="s">
        <v>163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t="s">
        <v>56</v>
      </c>
    </row>
    <row r="844" spans="1:15" x14ac:dyDescent="0.35">
      <c r="A844" t="s">
        <v>1679</v>
      </c>
      <c r="B844" s="1">
        <v>45403</v>
      </c>
      <c r="C844" t="s">
        <v>1680</v>
      </c>
      <c r="D844" t="s">
        <v>17</v>
      </c>
      <c r="E844" t="s">
        <v>135</v>
      </c>
      <c r="F844" t="s">
        <v>26</v>
      </c>
      <c r="G844" t="s">
        <v>32</v>
      </c>
      <c r="H844" t="s">
        <v>110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t="s">
        <v>56</v>
      </c>
    </row>
    <row r="845" spans="1:15" x14ac:dyDescent="0.35">
      <c r="A845" t="s">
        <v>1681</v>
      </c>
      <c r="B845" s="1">
        <v>45403</v>
      </c>
      <c r="C845" t="s">
        <v>1682</v>
      </c>
      <c r="D845" t="s">
        <v>17</v>
      </c>
      <c r="E845" t="s">
        <v>92</v>
      </c>
      <c r="F845" t="s">
        <v>60</v>
      </c>
      <c r="G845" t="s">
        <v>69</v>
      </c>
      <c r="H845" t="s">
        <v>98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t="s">
        <v>39</v>
      </c>
    </row>
    <row r="846" spans="1:15" x14ac:dyDescent="0.35">
      <c r="A846" t="s">
        <v>1683</v>
      </c>
      <c r="B846" s="1">
        <v>45403</v>
      </c>
      <c r="C846" t="s">
        <v>1684</v>
      </c>
      <c r="D846" t="s">
        <v>49</v>
      </c>
      <c r="E846" t="s">
        <v>85</v>
      </c>
      <c r="F846" t="s">
        <v>60</v>
      </c>
      <c r="G846" t="s">
        <v>20</v>
      </c>
      <c r="H846" t="s">
        <v>106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t="s">
        <v>34</v>
      </c>
    </row>
    <row r="847" spans="1:15" x14ac:dyDescent="0.35">
      <c r="A847" t="s">
        <v>1685</v>
      </c>
      <c r="B847" s="1">
        <v>45403</v>
      </c>
      <c r="C847" t="s">
        <v>1133</v>
      </c>
      <c r="D847" t="s">
        <v>49</v>
      </c>
      <c r="E847" t="s">
        <v>18</v>
      </c>
      <c r="F847" t="s">
        <v>19</v>
      </c>
      <c r="G847" t="s">
        <v>69</v>
      </c>
      <c r="H847" t="s">
        <v>79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t="s">
        <v>34</v>
      </c>
    </row>
    <row r="848" spans="1:15" x14ac:dyDescent="0.35">
      <c r="A848" t="s">
        <v>1686</v>
      </c>
      <c r="B848" s="1">
        <v>45403</v>
      </c>
      <c r="C848" t="s">
        <v>1687</v>
      </c>
      <c r="D848" t="s">
        <v>17</v>
      </c>
      <c r="E848" t="s">
        <v>121</v>
      </c>
      <c r="F848" t="s">
        <v>68</v>
      </c>
      <c r="G848" t="s">
        <v>42</v>
      </c>
      <c r="H848" t="s">
        <v>43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t="s">
        <v>34</v>
      </c>
    </row>
    <row r="849" spans="1:15" x14ac:dyDescent="0.35">
      <c r="A849" t="s">
        <v>1688</v>
      </c>
      <c r="B849" s="1">
        <v>45404</v>
      </c>
      <c r="C849" t="s">
        <v>661</v>
      </c>
      <c r="D849" t="s">
        <v>17</v>
      </c>
      <c r="E849" t="s">
        <v>169</v>
      </c>
      <c r="F849" t="s">
        <v>68</v>
      </c>
      <c r="G849" t="s">
        <v>42</v>
      </c>
      <c r="H849" t="s">
        <v>89</v>
      </c>
      <c r="I849">
        <v>8</v>
      </c>
      <c r="J849">
        <v>363.39</v>
      </c>
      <c r="K849">
        <v>10</v>
      </c>
      <c r="L849">
        <v>2616.41</v>
      </c>
      <c r="M849">
        <v>27.16</v>
      </c>
      <c r="N849">
        <v>844.98</v>
      </c>
      <c r="O849" t="s">
        <v>34</v>
      </c>
    </row>
    <row r="850" spans="1:15" x14ac:dyDescent="0.35">
      <c r="A850" t="s">
        <v>1689</v>
      </c>
      <c r="B850" s="1">
        <v>45405</v>
      </c>
      <c r="C850" t="s">
        <v>1690</v>
      </c>
      <c r="D850" t="s">
        <v>30</v>
      </c>
      <c r="E850" t="s">
        <v>109</v>
      </c>
      <c r="F850" t="s">
        <v>54</v>
      </c>
      <c r="G850" t="s">
        <v>69</v>
      </c>
      <c r="H850" t="s">
        <v>79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t="s">
        <v>39</v>
      </c>
    </row>
    <row r="851" spans="1:15" x14ac:dyDescent="0.35">
      <c r="A851" t="s">
        <v>1691</v>
      </c>
      <c r="B851" s="1">
        <v>45405</v>
      </c>
      <c r="C851" t="s">
        <v>1692</v>
      </c>
      <c r="D851" t="s">
        <v>17</v>
      </c>
      <c r="E851" t="s">
        <v>148</v>
      </c>
      <c r="F851" t="s">
        <v>60</v>
      </c>
      <c r="G851" t="s">
        <v>42</v>
      </c>
      <c r="H851" t="s">
        <v>294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t="s">
        <v>22</v>
      </c>
    </row>
    <row r="852" spans="1:15" x14ac:dyDescent="0.35">
      <c r="A852" t="s">
        <v>1693</v>
      </c>
      <c r="B852" s="1">
        <v>45405</v>
      </c>
      <c r="C852" t="s">
        <v>1694</v>
      </c>
      <c r="D852" t="s">
        <v>30</v>
      </c>
      <c r="E852" t="s">
        <v>92</v>
      </c>
      <c r="F852" t="s">
        <v>60</v>
      </c>
      <c r="G852" t="s">
        <v>42</v>
      </c>
      <c r="H852" t="s">
        <v>118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t="s">
        <v>34</v>
      </c>
    </row>
    <row r="853" spans="1:15" x14ac:dyDescent="0.35">
      <c r="A853" t="s">
        <v>1695</v>
      </c>
      <c r="B853" s="1">
        <v>45405</v>
      </c>
      <c r="C853" t="s">
        <v>1696</v>
      </c>
      <c r="D853" t="s">
        <v>30</v>
      </c>
      <c r="E853" t="s">
        <v>169</v>
      </c>
      <c r="F853" t="s">
        <v>68</v>
      </c>
      <c r="G853" t="s">
        <v>20</v>
      </c>
      <c r="H853" t="s">
        <v>55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t="s">
        <v>39</v>
      </c>
    </row>
    <row r="854" spans="1:15" x14ac:dyDescent="0.35">
      <c r="A854" t="s">
        <v>1697</v>
      </c>
      <c r="B854" s="1">
        <v>45406</v>
      </c>
      <c r="C854" t="s">
        <v>1698</v>
      </c>
      <c r="D854" t="s">
        <v>17</v>
      </c>
      <c r="E854" t="s">
        <v>169</v>
      </c>
      <c r="F854" t="s">
        <v>68</v>
      </c>
      <c r="G854" t="s">
        <v>20</v>
      </c>
      <c r="H854" t="s">
        <v>122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t="s">
        <v>56</v>
      </c>
    </row>
    <row r="855" spans="1:15" x14ac:dyDescent="0.35">
      <c r="A855" t="s">
        <v>1699</v>
      </c>
      <c r="B855" s="1">
        <v>45406</v>
      </c>
      <c r="C855" t="s">
        <v>1700</v>
      </c>
      <c r="D855" t="s">
        <v>49</v>
      </c>
      <c r="E855" t="s">
        <v>31</v>
      </c>
      <c r="F855" t="s">
        <v>19</v>
      </c>
      <c r="G855" t="s">
        <v>20</v>
      </c>
      <c r="H855" t="s">
        <v>106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t="s">
        <v>34</v>
      </c>
    </row>
    <row r="856" spans="1:15" x14ac:dyDescent="0.35">
      <c r="A856" t="s">
        <v>1701</v>
      </c>
      <c r="B856" s="1">
        <v>45407</v>
      </c>
      <c r="C856" t="s">
        <v>1702</v>
      </c>
      <c r="D856" t="s">
        <v>17</v>
      </c>
      <c r="E856" t="s">
        <v>31</v>
      </c>
      <c r="F856" t="s">
        <v>19</v>
      </c>
      <c r="G856" t="s">
        <v>42</v>
      </c>
      <c r="H856" t="s">
        <v>234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t="s">
        <v>34</v>
      </c>
    </row>
    <row r="857" spans="1:15" x14ac:dyDescent="0.35">
      <c r="A857" t="s">
        <v>1703</v>
      </c>
      <c r="B857" s="1">
        <v>45408</v>
      </c>
      <c r="C857" t="s">
        <v>1704</v>
      </c>
      <c r="D857" t="s">
        <v>17</v>
      </c>
      <c r="E857" t="s">
        <v>85</v>
      </c>
      <c r="F857" t="s">
        <v>60</v>
      </c>
      <c r="G857" t="s">
        <v>32</v>
      </c>
      <c r="H857" t="s">
        <v>110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t="s">
        <v>39</v>
      </c>
    </row>
    <row r="858" spans="1:15" x14ac:dyDescent="0.35">
      <c r="A858" t="s">
        <v>1705</v>
      </c>
      <c r="B858" s="1">
        <v>45408</v>
      </c>
      <c r="C858" t="s">
        <v>805</v>
      </c>
      <c r="D858" t="s">
        <v>30</v>
      </c>
      <c r="E858" t="s">
        <v>138</v>
      </c>
      <c r="F858" t="s">
        <v>54</v>
      </c>
      <c r="G858" t="s">
        <v>42</v>
      </c>
      <c r="H858" t="s">
        <v>294</v>
      </c>
      <c r="I858">
        <v>15</v>
      </c>
      <c r="J858">
        <v>107.45</v>
      </c>
      <c r="K858">
        <v>5</v>
      </c>
      <c r="L858">
        <v>1531.16</v>
      </c>
      <c r="M858">
        <v>23.4</v>
      </c>
      <c r="N858">
        <v>540.71</v>
      </c>
      <c r="O858" t="s">
        <v>34</v>
      </c>
    </row>
    <row r="859" spans="1:15" x14ac:dyDescent="0.35">
      <c r="A859" t="s">
        <v>1706</v>
      </c>
      <c r="B859" s="1">
        <v>45408</v>
      </c>
      <c r="C859" t="s">
        <v>1707</v>
      </c>
      <c r="D859" t="s">
        <v>30</v>
      </c>
      <c r="E859" t="s">
        <v>76</v>
      </c>
      <c r="F859" t="s">
        <v>26</v>
      </c>
      <c r="G859" t="s">
        <v>20</v>
      </c>
      <c r="H859" t="s">
        <v>38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t="s">
        <v>34</v>
      </c>
    </row>
    <row r="860" spans="1:15" x14ac:dyDescent="0.35">
      <c r="A860" t="s">
        <v>1708</v>
      </c>
      <c r="B860" s="1">
        <v>45410</v>
      </c>
      <c r="C860" t="s">
        <v>1709</v>
      </c>
      <c r="D860" t="s">
        <v>17</v>
      </c>
      <c r="E860" t="s">
        <v>129</v>
      </c>
      <c r="F860" t="s">
        <v>19</v>
      </c>
      <c r="G860" t="s">
        <v>69</v>
      </c>
      <c r="H860" t="s">
        <v>163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t="s">
        <v>34</v>
      </c>
    </row>
    <row r="861" spans="1:15" x14ac:dyDescent="0.35">
      <c r="A861" t="s">
        <v>1710</v>
      </c>
      <c r="B861" s="1">
        <v>45410</v>
      </c>
      <c r="C861" t="s">
        <v>1711</v>
      </c>
      <c r="D861" t="s">
        <v>49</v>
      </c>
      <c r="E861" t="s">
        <v>18</v>
      </c>
      <c r="F861" t="s">
        <v>19</v>
      </c>
      <c r="G861" t="s">
        <v>32</v>
      </c>
      <c r="H861" t="s">
        <v>101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t="s">
        <v>34</v>
      </c>
    </row>
    <row r="862" spans="1:15" x14ac:dyDescent="0.35">
      <c r="A862" t="s">
        <v>1712</v>
      </c>
      <c r="B862" s="1">
        <v>45410</v>
      </c>
      <c r="C862" t="s">
        <v>1090</v>
      </c>
      <c r="D862" t="s">
        <v>49</v>
      </c>
      <c r="E862" t="s">
        <v>166</v>
      </c>
      <c r="F862" t="s">
        <v>60</v>
      </c>
      <c r="G862" t="s">
        <v>42</v>
      </c>
      <c r="H862" t="s">
        <v>43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t="s">
        <v>39</v>
      </c>
    </row>
    <row r="863" spans="1:15" x14ac:dyDescent="0.35">
      <c r="A863" t="s">
        <v>1713</v>
      </c>
      <c r="B863" s="1">
        <v>45410</v>
      </c>
      <c r="C863" t="s">
        <v>1714</v>
      </c>
      <c r="D863" t="s">
        <v>30</v>
      </c>
      <c r="E863" t="s">
        <v>59</v>
      </c>
      <c r="F863" t="s">
        <v>60</v>
      </c>
      <c r="G863" t="s">
        <v>42</v>
      </c>
      <c r="H863" t="s">
        <v>294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t="s">
        <v>34</v>
      </c>
    </row>
    <row r="864" spans="1:15" x14ac:dyDescent="0.35">
      <c r="A864" t="s">
        <v>1715</v>
      </c>
      <c r="B864" s="1">
        <v>45410</v>
      </c>
      <c r="C864" t="s">
        <v>1716</v>
      </c>
      <c r="D864" t="s">
        <v>17</v>
      </c>
      <c r="E864" t="s">
        <v>169</v>
      </c>
      <c r="F864" t="s">
        <v>68</v>
      </c>
      <c r="G864" t="s">
        <v>20</v>
      </c>
      <c r="H864" t="s">
        <v>27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t="s">
        <v>56</v>
      </c>
    </row>
    <row r="865" spans="1:15" x14ac:dyDescent="0.35">
      <c r="A865" t="s">
        <v>1717</v>
      </c>
      <c r="B865" s="1">
        <v>45410</v>
      </c>
      <c r="C865" t="s">
        <v>1718</v>
      </c>
      <c r="D865" t="s">
        <v>30</v>
      </c>
      <c r="E865" t="s">
        <v>166</v>
      </c>
      <c r="F865" t="s">
        <v>60</v>
      </c>
      <c r="G865" t="s">
        <v>42</v>
      </c>
      <c r="H865" t="s">
        <v>118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t="s">
        <v>39</v>
      </c>
    </row>
    <row r="866" spans="1:15" x14ac:dyDescent="0.35">
      <c r="A866" t="s">
        <v>1719</v>
      </c>
      <c r="B866" s="1">
        <v>45411</v>
      </c>
      <c r="C866" t="s">
        <v>1720</v>
      </c>
      <c r="D866" t="s">
        <v>17</v>
      </c>
      <c r="E866" t="s">
        <v>67</v>
      </c>
      <c r="F866" t="s">
        <v>68</v>
      </c>
      <c r="G866" t="s">
        <v>20</v>
      </c>
      <c r="H866" t="s">
        <v>170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t="s">
        <v>34</v>
      </c>
    </row>
    <row r="867" spans="1:15" x14ac:dyDescent="0.35">
      <c r="A867" t="s">
        <v>1721</v>
      </c>
      <c r="B867" s="1">
        <v>45412</v>
      </c>
      <c r="C867" t="s">
        <v>1722</v>
      </c>
      <c r="D867" t="s">
        <v>49</v>
      </c>
      <c r="E867" t="s">
        <v>129</v>
      </c>
      <c r="F867" t="s">
        <v>19</v>
      </c>
      <c r="G867" t="s">
        <v>20</v>
      </c>
      <c r="H867" t="s">
        <v>175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t="s">
        <v>56</v>
      </c>
    </row>
    <row r="868" spans="1:15" x14ac:dyDescent="0.35">
      <c r="A868" t="s">
        <v>1723</v>
      </c>
      <c r="B868" s="1">
        <v>45416</v>
      </c>
      <c r="C868" t="s">
        <v>1724</v>
      </c>
      <c r="D868" t="s">
        <v>30</v>
      </c>
      <c r="E868" t="s">
        <v>129</v>
      </c>
      <c r="F868" t="s">
        <v>19</v>
      </c>
      <c r="G868" t="s">
        <v>42</v>
      </c>
      <c r="H868" t="s">
        <v>43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t="s">
        <v>39</v>
      </c>
    </row>
    <row r="869" spans="1:15" x14ac:dyDescent="0.35">
      <c r="A869" t="s">
        <v>1725</v>
      </c>
      <c r="B869" s="1">
        <v>45416</v>
      </c>
      <c r="C869" t="s">
        <v>1726</v>
      </c>
      <c r="D869" t="s">
        <v>17</v>
      </c>
      <c r="E869" t="s">
        <v>37</v>
      </c>
      <c r="F869" t="s">
        <v>26</v>
      </c>
      <c r="G869" t="s">
        <v>69</v>
      </c>
      <c r="H869" t="s">
        <v>79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t="s">
        <v>34</v>
      </c>
    </row>
    <row r="870" spans="1:15" x14ac:dyDescent="0.35">
      <c r="A870" t="s">
        <v>1727</v>
      </c>
      <c r="B870" s="1">
        <v>45416</v>
      </c>
      <c r="C870" t="s">
        <v>1722</v>
      </c>
      <c r="D870" t="s">
        <v>49</v>
      </c>
      <c r="E870" t="s">
        <v>37</v>
      </c>
      <c r="F870" t="s">
        <v>26</v>
      </c>
      <c r="G870" t="s">
        <v>20</v>
      </c>
      <c r="H870" t="s">
        <v>175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t="s">
        <v>34</v>
      </c>
    </row>
    <row r="871" spans="1:15" x14ac:dyDescent="0.35">
      <c r="A871" t="s">
        <v>1728</v>
      </c>
      <c r="B871" s="1">
        <v>45416</v>
      </c>
      <c r="C871" t="s">
        <v>1729</v>
      </c>
      <c r="D871" t="s">
        <v>30</v>
      </c>
      <c r="E871" t="s">
        <v>31</v>
      </c>
      <c r="F871" t="s">
        <v>19</v>
      </c>
      <c r="G871" t="s">
        <v>32</v>
      </c>
      <c r="H871" t="s">
        <v>73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t="s">
        <v>56</v>
      </c>
    </row>
    <row r="872" spans="1:15" x14ac:dyDescent="0.35">
      <c r="A872" t="s">
        <v>1730</v>
      </c>
      <c r="B872" s="1">
        <v>45416</v>
      </c>
      <c r="C872" t="s">
        <v>1731</v>
      </c>
      <c r="D872" t="s">
        <v>30</v>
      </c>
      <c r="E872" t="s">
        <v>166</v>
      </c>
      <c r="F872" t="s">
        <v>60</v>
      </c>
      <c r="G872" t="s">
        <v>20</v>
      </c>
      <c r="H872" t="s">
        <v>27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t="s">
        <v>34</v>
      </c>
    </row>
    <row r="873" spans="1:15" x14ac:dyDescent="0.35">
      <c r="A873" t="s">
        <v>1732</v>
      </c>
      <c r="B873" s="1">
        <v>45417</v>
      </c>
      <c r="C873" t="s">
        <v>1733</v>
      </c>
      <c r="D873" t="s">
        <v>17</v>
      </c>
      <c r="E873" t="s">
        <v>92</v>
      </c>
      <c r="F873" t="s">
        <v>60</v>
      </c>
      <c r="G873" t="s">
        <v>32</v>
      </c>
      <c r="H873" t="s">
        <v>73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t="s">
        <v>39</v>
      </c>
    </row>
    <row r="874" spans="1:15" x14ac:dyDescent="0.35">
      <c r="A874" t="s">
        <v>1734</v>
      </c>
      <c r="B874" s="1">
        <v>45417</v>
      </c>
      <c r="C874" t="s">
        <v>601</v>
      </c>
      <c r="D874" t="s">
        <v>30</v>
      </c>
      <c r="E874" t="s">
        <v>129</v>
      </c>
      <c r="F874" t="s">
        <v>19</v>
      </c>
      <c r="G874" t="s">
        <v>42</v>
      </c>
      <c r="H874" t="s">
        <v>64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t="s">
        <v>56</v>
      </c>
    </row>
    <row r="875" spans="1:15" x14ac:dyDescent="0.35">
      <c r="A875" t="s">
        <v>1735</v>
      </c>
      <c r="B875" s="1">
        <v>45417</v>
      </c>
      <c r="C875" t="s">
        <v>1736</v>
      </c>
      <c r="D875" t="s">
        <v>30</v>
      </c>
      <c r="E875" t="s">
        <v>76</v>
      </c>
      <c r="F875" t="s">
        <v>26</v>
      </c>
      <c r="G875" t="s">
        <v>20</v>
      </c>
      <c r="H875" t="s">
        <v>122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t="s">
        <v>34</v>
      </c>
    </row>
    <row r="876" spans="1:15" x14ac:dyDescent="0.35">
      <c r="A876" t="s">
        <v>1737</v>
      </c>
      <c r="B876" s="1">
        <v>45418</v>
      </c>
      <c r="C876" t="s">
        <v>1738</v>
      </c>
      <c r="D876" t="s">
        <v>30</v>
      </c>
      <c r="E876" t="s">
        <v>59</v>
      </c>
      <c r="F876" t="s">
        <v>60</v>
      </c>
      <c r="G876" t="s">
        <v>20</v>
      </c>
      <c r="H876" t="s">
        <v>55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t="s">
        <v>34</v>
      </c>
    </row>
    <row r="877" spans="1:15" x14ac:dyDescent="0.35">
      <c r="A877" t="s">
        <v>1739</v>
      </c>
      <c r="B877" s="1">
        <v>45419</v>
      </c>
      <c r="C877" t="s">
        <v>1594</v>
      </c>
      <c r="D877" t="s">
        <v>17</v>
      </c>
      <c r="E877" t="s">
        <v>138</v>
      </c>
      <c r="F877" t="s">
        <v>54</v>
      </c>
      <c r="G877" t="s">
        <v>32</v>
      </c>
      <c r="H877" t="s">
        <v>110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t="s">
        <v>39</v>
      </c>
    </row>
    <row r="878" spans="1:15" x14ac:dyDescent="0.35">
      <c r="A878" t="s">
        <v>1740</v>
      </c>
      <c r="B878" s="1">
        <v>45419</v>
      </c>
      <c r="C878" t="s">
        <v>1741</v>
      </c>
      <c r="D878" t="s">
        <v>17</v>
      </c>
      <c r="E878" t="s">
        <v>85</v>
      </c>
      <c r="F878" t="s">
        <v>60</v>
      </c>
      <c r="G878" t="s">
        <v>20</v>
      </c>
      <c r="H878" t="s">
        <v>175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t="s">
        <v>34</v>
      </c>
    </row>
    <row r="879" spans="1:15" x14ac:dyDescent="0.35">
      <c r="A879" t="s">
        <v>1742</v>
      </c>
      <c r="B879" s="1">
        <v>45420</v>
      </c>
      <c r="C879" t="s">
        <v>1743</v>
      </c>
      <c r="D879" t="s">
        <v>30</v>
      </c>
      <c r="E879" t="s">
        <v>92</v>
      </c>
      <c r="F879" t="s">
        <v>60</v>
      </c>
      <c r="G879" t="s">
        <v>42</v>
      </c>
      <c r="H879" t="s">
        <v>64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t="s">
        <v>34</v>
      </c>
    </row>
    <row r="880" spans="1:15" x14ac:dyDescent="0.35">
      <c r="A880" t="s">
        <v>1744</v>
      </c>
      <c r="B880" s="1">
        <v>45421</v>
      </c>
      <c r="C880" t="s">
        <v>1184</v>
      </c>
      <c r="D880" t="s">
        <v>30</v>
      </c>
      <c r="E880" t="s">
        <v>169</v>
      </c>
      <c r="F880" t="s">
        <v>68</v>
      </c>
      <c r="G880" t="s">
        <v>32</v>
      </c>
      <c r="H880" t="s">
        <v>348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t="s">
        <v>39</v>
      </c>
    </row>
    <row r="881" spans="1:15" x14ac:dyDescent="0.35">
      <c r="A881" t="s">
        <v>1745</v>
      </c>
      <c r="B881" s="1">
        <v>45421</v>
      </c>
      <c r="C881" t="s">
        <v>1746</v>
      </c>
      <c r="D881" t="s">
        <v>17</v>
      </c>
      <c r="E881" t="s">
        <v>92</v>
      </c>
      <c r="F881" t="s">
        <v>60</v>
      </c>
      <c r="G881" t="s">
        <v>69</v>
      </c>
      <c r="H881" t="s">
        <v>86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t="s">
        <v>22</v>
      </c>
    </row>
    <row r="882" spans="1:15" x14ac:dyDescent="0.35">
      <c r="A882" t="s">
        <v>1747</v>
      </c>
      <c r="B882" s="1">
        <v>45423</v>
      </c>
      <c r="C882" t="s">
        <v>1748</v>
      </c>
      <c r="D882" t="s">
        <v>30</v>
      </c>
      <c r="E882" t="s">
        <v>59</v>
      </c>
      <c r="F882" t="s">
        <v>60</v>
      </c>
      <c r="G882" t="s">
        <v>20</v>
      </c>
      <c r="H882" t="s">
        <v>199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t="s">
        <v>39</v>
      </c>
    </row>
    <row r="883" spans="1:15" x14ac:dyDescent="0.35">
      <c r="A883" t="s">
        <v>1749</v>
      </c>
      <c r="B883" s="1">
        <v>45423</v>
      </c>
      <c r="C883" t="s">
        <v>471</v>
      </c>
      <c r="D883" t="s">
        <v>30</v>
      </c>
      <c r="E883" t="s">
        <v>53</v>
      </c>
      <c r="F883" t="s">
        <v>54</v>
      </c>
      <c r="G883" t="s">
        <v>20</v>
      </c>
      <c r="H883" t="s">
        <v>27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t="s">
        <v>34</v>
      </c>
    </row>
    <row r="884" spans="1:15" x14ac:dyDescent="0.35">
      <c r="A884" t="s">
        <v>1750</v>
      </c>
      <c r="B884" s="1">
        <v>45423</v>
      </c>
      <c r="C884" t="s">
        <v>1751</v>
      </c>
      <c r="D884" t="s">
        <v>17</v>
      </c>
      <c r="E884" t="s">
        <v>59</v>
      </c>
      <c r="F884" t="s">
        <v>60</v>
      </c>
      <c r="G884" t="s">
        <v>69</v>
      </c>
      <c r="H884" t="s">
        <v>139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t="s">
        <v>22</v>
      </c>
    </row>
    <row r="885" spans="1:15" x14ac:dyDescent="0.35">
      <c r="A885" t="s">
        <v>1752</v>
      </c>
      <c r="B885" s="1">
        <v>45423</v>
      </c>
      <c r="C885" t="s">
        <v>1753</v>
      </c>
      <c r="D885" t="s">
        <v>30</v>
      </c>
      <c r="E885" t="s">
        <v>37</v>
      </c>
      <c r="F885" t="s">
        <v>26</v>
      </c>
      <c r="G885" t="s">
        <v>20</v>
      </c>
      <c r="H885" t="s">
        <v>175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t="s">
        <v>34</v>
      </c>
    </row>
    <row r="886" spans="1:15" x14ac:dyDescent="0.35">
      <c r="A886" t="s">
        <v>1754</v>
      </c>
      <c r="B886" s="1">
        <v>45424</v>
      </c>
      <c r="C886" t="s">
        <v>1755</v>
      </c>
      <c r="D886" t="s">
        <v>17</v>
      </c>
      <c r="E886" t="s">
        <v>18</v>
      </c>
      <c r="F886" t="s">
        <v>19</v>
      </c>
      <c r="G886" t="s">
        <v>69</v>
      </c>
      <c r="H886" t="s">
        <v>70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t="s">
        <v>22</v>
      </c>
    </row>
    <row r="887" spans="1:15" x14ac:dyDescent="0.35">
      <c r="A887" t="s">
        <v>1756</v>
      </c>
      <c r="B887" s="1">
        <v>45426</v>
      </c>
      <c r="C887" t="s">
        <v>1201</v>
      </c>
      <c r="D887" t="s">
        <v>30</v>
      </c>
      <c r="E887" t="s">
        <v>25</v>
      </c>
      <c r="F887" t="s">
        <v>26</v>
      </c>
      <c r="G887" t="s">
        <v>69</v>
      </c>
      <c r="H887" t="s">
        <v>196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t="s">
        <v>39</v>
      </c>
    </row>
    <row r="888" spans="1:15" x14ac:dyDescent="0.35">
      <c r="A888" t="s">
        <v>1757</v>
      </c>
      <c r="B888" s="1">
        <v>45426</v>
      </c>
      <c r="C888" t="s">
        <v>269</v>
      </c>
      <c r="D888" t="s">
        <v>30</v>
      </c>
      <c r="E888" t="s">
        <v>109</v>
      </c>
      <c r="F888" t="s">
        <v>54</v>
      </c>
      <c r="G888" t="s">
        <v>32</v>
      </c>
      <c r="H888" t="s">
        <v>149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t="s">
        <v>34</v>
      </c>
    </row>
    <row r="889" spans="1:15" x14ac:dyDescent="0.35">
      <c r="A889" t="s">
        <v>1758</v>
      </c>
      <c r="B889" s="1">
        <v>45427</v>
      </c>
      <c r="C889" t="s">
        <v>1759</v>
      </c>
      <c r="D889" t="s">
        <v>30</v>
      </c>
      <c r="E889" t="s">
        <v>76</v>
      </c>
      <c r="F889" t="s">
        <v>26</v>
      </c>
      <c r="G889" t="s">
        <v>69</v>
      </c>
      <c r="H889" t="s">
        <v>163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t="s">
        <v>39</v>
      </c>
    </row>
    <row r="890" spans="1:15" x14ac:dyDescent="0.35">
      <c r="A890" t="s">
        <v>1760</v>
      </c>
      <c r="B890" s="1">
        <v>45427</v>
      </c>
      <c r="C890" t="s">
        <v>1761</v>
      </c>
      <c r="D890" t="s">
        <v>17</v>
      </c>
      <c r="E890" t="s">
        <v>31</v>
      </c>
      <c r="F890" t="s">
        <v>19</v>
      </c>
      <c r="G890" t="s">
        <v>20</v>
      </c>
      <c r="H890" t="s">
        <v>175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t="s">
        <v>34</v>
      </c>
    </row>
    <row r="891" spans="1:15" x14ac:dyDescent="0.35">
      <c r="A891" t="s">
        <v>1762</v>
      </c>
      <c r="B891" s="1">
        <v>45428</v>
      </c>
      <c r="C891" t="s">
        <v>1763</v>
      </c>
      <c r="D891" t="s">
        <v>17</v>
      </c>
      <c r="E891" t="s">
        <v>18</v>
      </c>
      <c r="F891" t="s">
        <v>19</v>
      </c>
      <c r="G891" t="s">
        <v>32</v>
      </c>
      <c r="H891" t="s">
        <v>33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t="s">
        <v>34</v>
      </c>
    </row>
    <row r="892" spans="1:15" x14ac:dyDescent="0.35">
      <c r="A892" t="s">
        <v>1764</v>
      </c>
      <c r="B892" s="1">
        <v>45428</v>
      </c>
      <c r="C892" t="s">
        <v>603</v>
      </c>
      <c r="D892" t="s">
        <v>30</v>
      </c>
      <c r="E892" t="s">
        <v>37</v>
      </c>
      <c r="F892" t="s">
        <v>26</v>
      </c>
      <c r="G892" t="s">
        <v>20</v>
      </c>
      <c r="H892" t="s">
        <v>55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t="s">
        <v>34</v>
      </c>
    </row>
    <row r="893" spans="1:15" x14ac:dyDescent="0.35">
      <c r="A893" t="s">
        <v>1765</v>
      </c>
      <c r="B893" s="1">
        <v>45428</v>
      </c>
      <c r="C893" t="s">
        <v>1766</v>
      </c>
      <c r="D893" t="s">
        <v>30</v>
      </c>
      <c r="E893" t="s">
        <v>18</v>
      </c>
      <c r="F893" t="s">
        <v>19</v>
      </c>
      <c r="G893" t="s">
        <v>42</v>
      </c>
      <c r="H893" t="s">
        <v>255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t="s">
        <v>39</v>
      </c>
    </row>
    <row r="894" spans="1:15" x14ac:dyDescent="0.35">
      <c r="A894" t="s">
        <v>1767</v>
      </c>
      <c r="B894" s="1">
        <v>45429</v>
      </c>
      <c r="C894" t="s">
        <v>1768</v>
      </c>
      <c r="D894" t="s">
        <v>30</v>
      </c>
      <c r="E894" t="s">
        <v>169</v>
      </c>
      <c r="F894" t="s">
        <v>68</v>
      </c>
      <c r="G894" t="s">
        <v>20</v>
      </c>
      <c r="H894" t="s">
        <v>106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t="s">
        <v>34</v>
      </c>
    </row>
    <row r="895" spans="1:15" x14ac:dyDescent="0.35">
      <c r="A895" t="s">
        <v>1769</v>
      </c>
      <c r="B895" s="1">
        <v>45429</v>
      </c>
      <c r="C895" t="s">
        <v>1538</v>
      </c>
      <c r="D895" t="s">
        <v>17</v>
      </c>
      <c r="E895" t="s">
        <v>31</v>
      </c>
      <c r="F895" t="s">
        <v>19</v>
      </c>
      <c r="G895" t="s">
        <v>69</v>
      </c>
      <c r="H895" t="s">
        <v>86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t="s">
        <v>34</v>
      </c>
    </row>
    <row r="896" spans="1:15" x14ac:dyDescent="0.35">
      <c r="A896" t="s">
        <v>1770</v>
      </c>
      <c r="B896" s="1">
        <v>45430</v>
      </c>
      <c r="C896" t="s">
        <v>1771</v>
      </c>
      <c r="D896" t="s">
        <v>30</v>
      </c>
      <c r="E896" t="s">
        <v>37</v>
      </c>
      <c r="F896" t="s">
        <v>26</v>
      </c>
      <c r="G896" t="s">
        <v>42</v>
      </c>
      <c r="H896" t="s">
        <v>255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t="s">
        <v>39</v>
      </c>
    </row>
    <row r="897" spans="1:15" x14ac:dyDescent="0.35">
      <c r="A897" t="s">
        <v>1772</v>
      </c>
      <c r="B897" s="1">
        <v>45430</v>
      </c>
      <c r="C897" t="s">
        <v>929</v>
      </c>
      <c r="D897" t="s">
        <v>30</v>
      </c>
      <c r="E897" t="s">
        <v>76</v>
      </c>
      <c r="F897" t="s">
        <v>26</v>
      </c>
      <c r="G897" t="s">
        <v>42</v>
      </c>
      <c r="H897" t="s">
        <v>294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t="s">
        <v>22</v>
      </c>
    </row>
    <row r="898" spans="1:15" x14ac:dyDescent="0.35">
      <c r="A898" t="s">
        <v>1773</v>
      </c>
      <c r="B898" s="1">
        <v>45430</v>
      </c>
      <c r="C898" t="s">
        <v>1774</v>
      </c>
      <c r="D898" t="s">
        <v>49</v>
      </c>
      <c r="E898" t="s">
        <v>166</v>
      </c>
      <c r="F898" t="s">
        <v>60</v>
      </c>
      <c r="G898" t="s">
        <v>42</v>
      </c>
      <c r="H898" t="s">
        <v>294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t="s">
        <v>22</v>
      </c>
    </row>
    <row r="899" spans="1:15" x14ac:dyDescent="0.35">
      <c r="A899" t="s">
        <v>1775</v>
      </c>
      <c r="B899" s="1">
        <v>45430</v>
      </c>
      <c r="C899" t="s">
        <v>1776</v>
      </c>
      <c r="D899" t="s">
        <v>49</v>
      </c>
      <c r="E899" t="s">
        <v>18</v>
      </c>
      <c r="F899" t="s">
        <v>19</v>
      </c>
      <c r="G899" t="s">
        <v>69</v>
      </c>
      <c r="H899" t="s">
        <v>163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t="s">
        <v>39</v>
      </c>
    </row>
    <row r="900" spans="1:15" x14ac:dyDescent="0.35">
      <c r="A900" t="s">
        <v>1777</v>
      </c>
      <c r="B900" s="1">
        <v>45431</v>
      </c>
      <c r="C900" t="s">
        <v>1778</v>
      </c>
      <c r="D900" t="s">
        <v>17</v>
      </c>
      <c r="E900" t="s">
        <v>85</v>
      </c>
      <c r="F900" t="s">
        <v>60</v>
      </c>
      <c r="G900" t="s">
        <v>32</v>
      </c>
      <c r="H900" t="s">
        <v>115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t="s">
        <v>34</v>
      </c>
    </row>
    <row r="901" spans="1:15" x14ac:dyDescent="0.35">
      <c r="A901" t="s">
        <v>1779</v>
      </c>
      <c r="B901" s="1">
        <v>45432</v>
      </c>
      <c r="C901" t="s">
        <v>1780</v>
      </c>
      <c r="D901" t="s">
        <v>17</v>
      </c>
      <c r="E901" t="s">
        <v>129</v>
      </c>
      <c r="F901" t="s">
        <v>19</v>
      </c>
      <c r="G901" t="s">
        <v>20</v>
      </c>
      <c r="H901" t="s">
        <v>27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t="s">
        <v>34</v>
      </c>
    </row>
    <row r="902" spans="1:15" x14ac:dyDescent="0.35">
      <c r="A902" t="s">
        <v>1781</v>
      </c>
      <c r="B902" s="1">
        <v>45433</v>
      </c>
      <c r="C902" t="s">
        <v>591</v>
      </c>
      <c r="D902" t="s">
        <v>30</v>
      </c>
      <c r="E902" t="s">
        <v>109</v>
      </c>
      <c r="F902" t="s">
        <v>54</v>
      </c>
      <c r="G902" t="s">
        <v>20</v>
      </c>
      <c r="H902" t="s">
        <v>264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t="s">
        <v>34</v>
      </c>
    </row>
    <row r="903" spans="1:15" x14ac:dyDescent="0.35">
      <c r="A903" t="s">
        <v>1782</v>
      </c>
      <c r="B903" s="1">
        <v>45433</v>
      </c>
      <c r="C903" t="s">
        <v>1783</v>
      </c>
      <c r="D903" t="s">
        <v>17</v>
      </c>
      <c r="E903" t="s">
        <v>166</v>
      </c>
      <c r="F903" t="s">
        <v>60</v>
      </c>
      <c r="G903" t="s">
        <v>32</v>
      </c>
      <c r="H903" t="s">
        <v>33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t="s">
        <v>34</v>
      </c>
    </row>
    <row r="904" spans="1:15" x14ac:dyDescent="0.35">
      <c r="A904" t="s">
        <v>1784</v>
      </c>
      <c r="B904" s="1">
        <v>45434</v>
      </c>
      <c r="C904" t="s">
        <v>1785</v>
      </c>
      <c r="D904" t="s">
        <v>30</v>
      </c>
      <c r="E904" t="s">
        <v>85</v>
      </c>
      <c r="F904" t="s">
        <v>60</v>
      </c>
      <c r="G904" t="s">
        <v>32</v>
      </c>
      <c r="H904" t="s">
        <v>348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t="s">
        <v>34</v>
      </c>
    </row>
    <row r="905" spans="1:15" x14ac:dyDescent="0.35">
      <c r="A905" t="s">
        <v>1786</v>
      </c>
      <c r="B905" s="1">
        <v>45435</v>
      </c>
      <c r="C905" t="s">
        <v>1787</v>
      </c>
      <c r="D905" t="s">
        <v>49</v>
      </c>
      <c r="E905" t="s">
        <v>25</v>
      </c>
      <c r="F905" t="s">
        <v>26</v>
      </c>
      <c r="G905" t="s">
        <v>20</v>
      </c>
      <c r="H905" t="s">
        <v>38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t="s">
        <v>56</v>
      </c>
    </row>
    <row r="906" spans="1:15" x14ac:dyDescent="0.35">
      <c r="A906" t="s">
        <v>1788</v>
      </c>
      <c r="B906" s="1">
        <v>45436</v>
      </c>
      <c r="C906" t="s">
        <v>1789</v>
      </c>
      <c r="D906" t="s">
        <v>30</v>
      </c>
      <c r="E906" t="s">
        <v>76</v>
      </c>
      <c r="F906" t="s">
        <v>26</v>
      </c>
      <c r="G906" t="s">
        <v>20</v>
      </c>
      <c r="H906" t="s">
        <v>199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t="s">
        <v>22</v>
      </c>
    </row>
    <row r="907" spans="1:15" x14ac:dyDescent="0.35">
      <c r="A907" t="s">
        <v>1790</v>
      </c>
      <c r="B907" s="1">
        <v>45436</v>
      </c>
      <c r="C907" t="s">
        <v>1791</v>
      </c>
      <c r="D907" t="s">
        <v>30</v>
      </c>
      <c r="E907" t="s">
        <v>31</v>
      </c>
      <c r="F907" t="s">
        <v>19</v>
      </c>
      <c r="G907" t="s">
        <v>42</v>
      </c>
      <c r="H907" t="s">
        <v>89</v>
      </c>
      <c r="I907">
        <v>13</v>
      </c>
      <c r="J907">
        <v>201.56</v>
      </c>
      <c r="K907">
        <v>0</v>
      </c>
      <c r="L907">
        <v>2620.2800000000002</v>
      </c>
      <c r="M907">
        <v>30.62</v>
      </c>
      <c r="N907">
        <v>1017.49</v>
      </c>
      <c r="O907" t="s">
        <v>34</v>
      </c>
    </row>
    <row r="908" spans="1:15" x14ac:dyDescent="0.35">
      <c r="A908" t="s">
        <v>1792</v>
      </c>
      <c r="B908" s="1">
        <v>45436</v>
      </c>
      <c r="C908" t="s">
        <v>1793</v>
      </c>
      <c r="D908" t="s">
        <v>30</v>
      </c>
      <c r="E908" t="s">
        <v>18</v>
      </c>
      <c r="F908" t="s">
        <v>19</v>
      </c>
      <c r="G908" t="s">
        <v>69</v>
      </c>
      <c r="H908" t="s">
        <v>243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t="s">
        <v>34</v>
      </c>
    </row>
    <row r="909" spans="1:15" x14ac:dyDescent="0.35">
      <c r="A909" t="s">
        <v>1794</v>
      </c>
      <c r="B909" s="1">
        <v>45436</v>
      </c>
      <c r="C909" t="s">
        <v>1795</v>
      </c>
      <c r="D909" t="s">
        <v>30</v>
      </c>
      <c r="E909" t="s">
        <v>37</v>
      </c>
      <c r="F909" t="s">
        <v>26</v>
      </c>
      <c r="G909" t="s">
        <v>32</v>
      </c>
      <c r="H909" t="s">
        <v>33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t="s">
        <v>39</v>
      </c>
    </row>
    <row r="910" spans="1:15" x14ac:dyDescent="0.35">
      <c r="A910" t="s">
        <v>1796</v>
      </c>
      <c r="B910" s="1">
        <v>45437</v>
      </c>
      <c r="C910" t="s">
        <v>1797</v>
      </c>
      <c r="D910" t="s">
        <v>17</v>
      </c>
      <c r="E910" t="s">
        <v>166</v>
      </c>
      <c r="F910" t="s">
        <v>60</v>
      </c>
      <c r="G910" t="s">
        <v>69</v>
      </c>
      <c r="H910" t="s">
        <v>243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t="s">
        <v>39</v>
      </c>
    </row>
    <row r="911" spans="1:15" x14ac:dyDescent="0.35">
      <c r="A911" t="s">
        <v>1798</v>
      </c>
      <c r="B911" s="1">
        <v>45437</v>
      </c>
      <c r="C911" t="s">
        <v>1707</v>
      </c>
      <c r="D911" t="s">
        <v>30</v>
      </c>
      <c r="E911" t="s">
        <v>166</v>
      </c>
      <c r="F911" t="s">
        <v>60</v>
      </c>
      <c r="G911" t="s">
        <v>32</v>
      </c>
      <c r="H911" t="s">
        <v>149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t="s">
        <v>34</v>
      </c>
    </row>
    <row r="912" spans="1:15" x14ac:dyDescent="0.35">
      <c r="A912" t="s">
        <v>1799</v>
      </c>
      <c r="B912" s="1">
        <v>45437</v>
      </c>
      <c r="C912" t="s">
        <v>1800</v>
      </c>
      <c r="D912" t="s">
        <v>17</v>
      </c>
      <c r="E912" t="s">
        <v>166</v>
      </c>
      <c r="F912" t="s">
        <v>60</v>
      </c>
      <c r="G912" t="s">
        <v>69</v>
      </c>
      <c r="H912" t="s">
        <v>86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t="s">
        <v>22</v>
      </c>
    </row>
    <row r="913" spans="1:15" x14ac:dyDescent="0.35">
      <c r="A913" t="s">
        <v>1801</v>
      </c>
      <c r="B913" s="1">
        <v>45438</v>
      </c>
      <c r="C913" t="s">
        <v>427</v>
      </c>
      <c r="D913" t="s">
        <v>30</v>
      </c>
      <c r="E913" t="s">
        <v>59</v>
      </c>
      <c r="F913" t="s">
        <v>60</v>
      </c>
      <c r="G913" t="s">
        <v>42</v>
      </c>
      <c r="H913" t="s">
        <v>371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t="s">
        <v>56</v>
      </c>
    </row>
    <row r="914" spans="1:15" x14ac:dyDescent="0.35">
      <c r="A914" t="s">
        <v>1802</v>
      </c>
      <c r="B914" s="1">
        <v>45438</v>
      </c>
      <c r="C914" t="s">
        <v>1803</v>
      </c>
      <c r="D914" t="s">
        <v>17</v>
      </c>
      <c r="E914" t="s">
        <v>37</v>
      </c>
      <c r="F914" t="s">
        <v>26</v>
      </c>
      <c r="G914" t="s">
        <v>20</v>
      </c>
      <c r="H914" t="s">
        <v>175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t="s">
        <v>39</v>
      </c>
    </row>
    <row r="915" spans="1:15" x14ac:dyDescent="0.35">
      <c r="A915" t="s">
        <v>1804</v>
      </c>
      <c r="B915" s="1">
        <v>45438</v>
      </c>
      <c r="C915" t="s">
        <v>1805</v>
      </c>
      <c r="D915" t="s">
        <v>17</v>
      </c>
      <c r="E915" t="s">
        <v>109</v>
      </c>
      <c r="F915" t="s">
        <v>54</v>
      </c>
      <c r="G915" t="s">
        <v>20</v>
      </c>
      <c r="H915" t="s">
        <v>21</v>
      </c>
      <c r="I915">
        <v>8</v>
      </c>
      <c r="J915">
        <v>171.31</v>
      </c>
      <c r="K915">
        <v>10</v>
      </c>
      <c r="L915">
        <v>1233.43</v>
      </c>
      <c r="M915">
        <v>22.94</v>
      </c>
      <c r="N915">
        <v>456.73</v>
      </c>
      <c r="O915" t="s">
        <v>22</v>
      </c>
    </row>
    <row r="916" spans="1:15" x14ac:dyDescent="0.35">
      <c r="A916" t="s">
        <v>1806</v>
      </c>
      <c r="B916" s="1">
        <v>45439</v>
      </c>
      <c r="C916" t="s">
        <v>1807</v>
      </c>
      <c r="D916" t="s">
        <v>30</v>
      </c>
      <c r="E916" t="s">
        <v>248</v>
      </c>
      <c r="F916" t="s">
        <v>26</v>
      </c>
      <c r="G916" t="s">
        <v>20</v>
      </c>
      <c r="H916" t="s">
        <v>27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t="s">
        <v>22</v>
      </c>
    </row>
    <row r="917" spans="1:15" x14ac:dyDescent="0.35">
      <c r="A917" t="s">
        <v>1808</v>
      </c>
      <c r="B917" s="1">
        <v>45439</v>
      </c>
      <c r="C917" t="s">
        <v>1809</v>
      </c>
      <c r="D917" t="s">
        <v>49</v>
      </c>
      <c r="E917" t="s">
        <v>67</v>
      </c>
      <c r="F917" t="s">
        <v>68</v>
      </c>
      <c r="G917" t="s">
        <v>32</v>
      </c>
      <c r="H917" t="s">
        <v>33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t="s">
        <v>39</v>
      </c>
    </row>
    <row r="918" spans="1:15" x14ac:dyDescent="0.35">
      <c r="A918" t="s">
        <v>1810</v>
      </c>
      <c r="B918" s="1">
        <v>45439</v>
      </c>
      <c r="C918" t="s">
        <v>1811</v>
      </c>
      <c r="D918" t="s">
        <v>30</v>
      </c>
      <c r="E918" t="s">
        <v>138</v>
      </c>
      <c r="F918" t="s">
        <v>54</v>
      </c>
      <c r="G918" t="s">
        <v>20</v>
      </c>
      <c r="H918" t="s">
        <v>264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t="s">
        <v>56</v>
      </c>
    </row>
    <row r="919" spans="1:15" x14ac:dyDescent="0.35">
      <c r="A919" t="s">
        <v>1812</v>
      </c>
      <c r="B919" s="1">
        <v>45439</v>
      </c>
      <c r="C919" t="s">
        <v>1813</v>
      </c>
      <c r="D919" t="s">
        <v>17</v>
      </c>
      <c r="E919" t="s">
        <v>248</v>
      </c>
      <c r="F919" t="s">
        <v>26</v>
      </c>
      <c r="G919" t="s">
        <v>42</v>
      </c>
      <c r="H919" t="s">
        <v>234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t="s">
        <v>56</v>
      </c>
    </row>
    <row r="920" spans="1:15" x14ac:dyDescent="0.35">
      <c r="A920" t="s">
        <v>1814</v>
      </c>
      <c r="B920" s="1">
        <v>45439</v>
      </c>
      <c r="C920" t="s">
        <v>1815</v>
      </c>
      <c r="D920" t="s">
        <v>17</v>
      </c>
      <c r="E920" t="s">
        <v>59</v>
      </c>
      <c r="F920" t="s">
        <v>60</v>
      </c>
      <c r="G920" t="s">
        <v>20</v>
      </c>
      <c r="H920" t="s">
        <v>199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t="s">
        <v>39</v>
      </c>
    </row>
    <row r="921" spans="1:15" x14ac:dyDescent="0.35">
      <c r="A921" t="s">
        <v>1816</v>
      </c>
      <c r="B921" s="1">
        <v>45439</v>
      </c>
      <c r="C921" t="s">
        <v>302</v>
      </c>
      <c r="D921" t="s">
        <v>49</v>
      </c>
      <c r="E921" t="s">
        <v>85</v>
      </c>
      <c r="F921" t="s">
        <v>60</v>
      </c>
      <c r="G921" t="s">
        <v>32</v>
      </c>
      <c r="H921" t="s">
        <v>82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t="s">
        <v>34</v>
      </c>
    </row>
    <row r="922" spans="1:15" x14ac:dyDescent="0.35">
      <c r="A922" t="s">
        <v>1817</v>
      </c>
      <c r="B922" s="1">
        <v>45439</v>
      </c>
      <c r="C922" t="s">
        <v>1818</v>
      </c>
      <c r="D922" t="s">
        <v>30</v>
      </c>
      <c r="E922" t="s">
        <v>25</v>
      </c>
      <c r="F922" t="s">
        <v>26</v>
      </c>
      <c r="G922" t="s">
        <v>20</v>
      </c>
      <c r="H922" t="s">
        <v>122</v>
      </c>
      <c r="I922">
        <v>15</v>
      </c>
      <c r="J922">
        <v>142.85</v>
      </c>
      <c r="K922">
        <v>10</v>
      </c>
      <c r="L922">
        <v>1928.48</v>
      </c>
      <c r="M922">
        <v>22.72</v>
      </c>
      <c r="N922">
        <v>727.25</v>
      </c>
      <c r="O922" t="s">
        <v>22</v>
      </c>
    </row>
    <row r="923" spans="1:15" x14ac:dyDescent="0.35">
      <c r="A923" t="s">
        <v>1819</v>
      </c>
      <c r="B923" s="1">
        <v>45440</v>
      </c>
      <c r="C923" t="s">
        <v>1820</v>
      </c>
      <c r="D923" t="s">
        <v>17</v>
      </c>
      <c r="E923" t="s">
        <v>135</v>
      </c>
      <c r="F923" t="s">
        <v>26</v>
      </c>
      <c r="G923" t="s">
        <v>69</v>
      </c>
      <c r="H923" t="s">
        <v>70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t="s">
        <v>39</v>
      </c>
    </row>
    <row r="924" spans="1:15" x14ac:dyDescent="0.35">
      <c r="A924" t="s">
        <v>1821</v>
      </c>
      <c r="B924" s="1">
        <v>45440</v>
      </c>
      <c r="C924" t="s">
        <v>1822</v>
      </c>
      <c r="D924" t="s">
        <v>30</v>
      </c>
      <c r="E924" t="s">
        <v>31</v>
      </c>
      <c r="F924" t="s">
        <v>19</v>
      </c>
      <c r="G924" t="s">
        <v>32</v>
      </c>
      <c r="H924" t="s">
        <v>50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t="s">
        <v>39</v>
      </c>
    </row>
    <row r="925" spans="1:15" x14ac:dyDescent="0.35">
      <c r="A925" t="s">
        <v>1823</v>
      </c>
      <c r="B925" s="1">
        <v>45440</v>
      </c>
      <c r="C925" t="s">
        <v>764</v>
      </c>
      <c r="D925" t="s">
        <v>30</v>
      </c>
      <c r="E925" t="s">
        <v>121</v>
      </c>
      <c r="F925" t="s">
        <v>68</v>
      </c>
      <c r="G925" t="s">
        <v>69</v>
      </c>
      <c r="H925" t="s">
        <v>305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t="s">
        <v>34</v>
      </c>
    </row>
    <row r="926" spans="1:15" x14ac:dyDescent="0.35">
      <c r="A926" t="s">
        <v>1824</v>
      </c>
      <c r="B926" s="1">
        <v>45441</v>
      </c>
      <c r="C926" t="s">
        <v>1825</v>
      </c>
      <c r="D926" t="s">
        <v>30</v>
      </c>
      <c r="E926" t="s">
        <v>63</v>
      </c>
      <c r="F926" t="s">
        <v>54</v>
      </c>
      <c r="G926" t="s">
        <v>32</v>
      </c>
      <c r="H926" t="s">
        <v>115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t="s">
        <v>34</v>
      </c>
    </row>
    <row r="927" spans="1:15" x14ac:dyDescent="0.35">
      <c r="A927" t="s">
        <v>1826</v>
      </c>
      <c r="B927" s="1">
        <v>45441</v>
      </c>
      <c r="C927" t="s">
        <v>1827</v>
      </c>
      <c r="D927" t="s">
        <v>17</v>
      </c>
      <c r="E927" t="s">
        <v>67</v>
      </c>
      <c r="F927" t="s">
        <v>68</v>
      </c>
      <c r="G927" t="s">
        <v>32</v>
      </c>
      <c r="H927" t="s">
        <v>101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t="s">
        <v>22</v>
      </c>
    </row>
    <row r="928" spans="1:15" x14ac:dyDescent="0.35">
      <c r="A928" t="s">
        <v>1828</v>
      </c>
      <c r="B928" s="1">
        <v>45442</v>
      </c>
      <c r="C928" t="s">
        <v>1829</v>
      </c>
      <c r="D928" t="s">
        <v>30</v>
      </c>
      <c r="E928" t="s">
        <v>129</v>
      </c>
      <c r="F928" t="s">
        <v>19</v>
      </c>
      <c r="G928" t="s">
        <v>20</v>
      </c>
      <c r="H928" t="s">
        <v>21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t="s">
        <v>34</v>
      </c>
    </row>
    <row r="929" spans="1:15" x14ac:dyDescent="0.35">
      <c r="A929" t="s">
        <v>1830</v>
      </c>
      <c r="B929" s="1">
        <v>45443</v>
      </c>
      <c r="C929" t="s">
        <v>538</v>
      </c>
      <c r="D929" t="s">
        <v>30</v>
      </c>
      <c r="E929" t="s">
        <v>138</v>
      </c>
      <c r="F929" t="s">
        <v>54</v>
      </c>
      <c r="G929" t="s">
        <v>42</v>
      </c>
      <c r="H929" t="s">
        <v>234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t="s">
        <v>39</v>
      </c>
    </row>
    <row r="930" spans="1:15" x14ac:dyDescent="0.35">
      <c r="A930" t="s">
        <v>1831</v>
      </c>
      <c r="B930" s="1">
        <v>45443</v>
      </c>
      <c r="C930" t="s">
        <v>1832</v>
      </c>
      <c r="D930" t="s">
        <v>30</v>
      </c>
      <c r="E930" t="s">
        <v>18</v>
      </c>
      <c r="F930" t="s">
        <v>19</v>
      </c>
      <c r="G930" t="s">
        <v>20</v>
      </c>
      <c r="H930" t="s">
        <v>264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t="s">
        <v>39</v>
      </c>
    </row>
    <row r="931" spans="1:15" x14ac:dyDescent="0.35">
      <c r="A931" t="s">
        <v>1833</v>
      </c>
      <c r="B931" s="1">
        <v>45444</v>
      </c>
      <c r="C931" t="s">
        <v>980</v>
      </c>
      <c r="D931" t="s">
        <v>30</v>
      </c>
      <c r="E931" t="s">
        <v>92</v>
      </c>
      <c r="F931" t="s">
        <v>60</v>
      </c>
      <c r="G931" t="s">
        <v>32</v>
      </c>
      <c r="H931" t="s">
        <v>101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t="s">
        <v>34</v>
      </c>
    </row>
    <row r="932" spans="1:15" x14ac:dyDescent="0.35">
      <c r="A932" t="s">
        <v>1834</v>
      </c>
      <c r="B932" s="1">
        <v>45445</v>
      </c>
      <c r="C932" t="s">
        <v>1835</v>
      </c>
      <c r="D932" t="s">
        <v>49</v>
      </c>
      <c r="E932" t="s">
        <v>135</v>
      </c>
      <c r="F932" t="s">
        <v>26</v>
      </c>
      <c r="G932" t="s">
        <v>42</v>
      </c>
      <c r="H932" t="s">
        <v>118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t="s">
        <v>34</v>
      </c>
    </row>
    <row r="933" spans="1:15" x14ac:dyDescent="0.35">
      <c r="A933" t="s">
        <v>1836</v>
      </c>
      <c r="B933" s="1">
        <v>45446</v>
      </c>
      <c r="C933" t="s">
        <v>1837</v>
      </c>
      <c r="D933" t="s">
        <v>30</v>
      </c>
      <c r="E933" t="s">
        <v>166</v>
      </c>
      <c r="F933" t="s">
        <v>60</v>
      </c>
      <c r="G933" t="s">
        <v>32</v>
      </c>
      <c r="H933" t="s">
        <v>101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t="s">
        <v>56</v>
      </c>
    </row>
    <row r="934" spans="1:15" x14ac:dyDescent="0.35">
      <c r="A934" t="s">
        <v>1838</v>
      </c>
      <c r="B934" s="1">
        <v>45446</v>
      </c>
      <c r="C934" t="s">
        <v>1839</v>
      </c>
      <c r="D934" t="s">
        <v>49</v>
      </c>
      <c r="E934" t="s">
        <v>85</v>
      </c>
      <c r="F934" t="s">
        <v>60</v>
      </c>
      <c r="G934" t="s">
        <v>42</v>
      </c>
      <c r="H934" t="s">
        <v>43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t="s">
        <v>34</v>
      </c>
    </row>
    <row r="935" spans="1:15" x14ac:dyDescent="0.35">
      <c r="A935" t="s">
        <v>1840</v>
      </c>
      <c r="B935" s="1">
        <v>45447</v>
      </c>
      <c r="C935" t="s">
        <v>425</v>
      </c>
      <c r="D935" t="s">
        <v>30</v>
      </c>
      <c r="E935" t="s">
        <v>18</v>
      </c>
      <c r="F935" t="s">
        <v>19</v>
      </c>
      <c r="G935" t="s">
        <v>42</v>
      </c>
      <c r="H935" t="s">
        <v>43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t="s">
        <v>22</v>
      </c>
    </row>
    <row r="936" spans="1:15" x14ac:dyDescent="0.35">
      <c r="A936" t="s">
        <v>1841</v>
      </c>
      <c r="B936" s="1">
        <v>45447</v>
      </c>
      <c r="C936" t="s">
        <v>1842</v>
      </c>
      <c r="D936" t="s">
        <v>30</v>
      </c>
      <c r="E936" t="s">
        <v>31</v>
      </c>
      <c r="F936" t="s">
        <v>19</v>
      </c>
      <c r="G936" t="s">
        <v>42</v>
      </c>
      <c r="H936" t="s">
        <v>294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t="s">
        <v>34</v>
      </c>
    </row>
    <row r="937" spans="1:15" x14ac:dyDescent="0.35">
      <c r="A937" t="s">
        <v>1843</v>
      </c>
      <c r="B937" s="1">
        <v>45448</v>
      </c>
      <c r="C937" t="s">
        <v>1844</v>
      </c>
      <c r="D937" t="s">
        <v>49</v>
      </c>
      <c r="E937" t="s">
        <v>92</v>
      </c>
      <c r="F937" t="s">
        <v>60</v>
      </c>
      <c r="G937" t="s">
        <v>69</v>
      </c>
      <c r="H937" t="s">
        <v>160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t="s">
        <v>22</v>
      </c>
    </row>
    <row r="938" spans="1:15" x14ac:dyDescent="0.35">
      <c r="A938" t="s">
        <v>1845</v>
      </c>
      <c r="B938" s="1">
        <v>45450</v>
      </c>
      <c r="C938" t="s">
        <v>1846</v>
      </c>
      <c r="D938" t="s">
        <v>49</v>
      </c>
      <c r="E938" t="s">
        <v>121</v>
      </c>
      <c r="F938" t="s">
        <v>68</v>
      </c>
      <c r="G938" t="s">
        <v>69</v>
      </c>
      <c r="H938" t="s">
        <v>305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t="s">
        <v>34</v>
      </c>
    </row>
    <row r="939" spans="1:15" x14ac:dyDescent="0.35">
      <c r="A939" t="s">
        <v>1847</v>
      </c>
      <c r="B939" s="1">
        <v>45451</v>
      </c>
      <c r="C939" t="s">
        <v>1848</v>
      </c>
      <c r="D939" t="s">
        <v>17</v>
      </c>
      <c r="E939" t="s">
        <v>37</v>
      </c>
      <c r="F939" t="s">
        <v>26</v>
      </c>
      <c r="G939" t="s">
        <v>32</v>
      </c>
      <c r="H939" t="s">
        <v>348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t="s">
        <v>34</v>
      </c>
    </row>
    <row r="940" spans="1:15" x14ac:dyDescent="0.35">
      <c r="A940" t="s">
        <v>1849</v>
      </c>
      <c r="B940" s="1">
        <v>45452</v>
      </c>
      <c r="C940" t="s">
        <v>1850</v>
      </c>
      <c r="D940" t="s">
        <v>49</v>
      </c>
      <c r="E940" t="s">
        <v>121</v>
      </c>
      <c r="F940" t="s">
        <v>68</v>
      </c>
      <c r="G940" t="s">
        <v>42</v>
      </c>
      <c r="H940" t="s">
        <v>234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t="s">
        <v>39</v>
      </c>
    </row>
    <row r="941" spans="1:15" x14ac:dyDescent="0.35">
      <c r="A941" t="s">
        <v>1851</v>
      </c>
      <c r="B941" s="1">
        <v>45452</v>
      </c>
      <c r="C941" t="s">
        <v>1852</v>
      </c>
      <c r="D941" t="s">
        <v>30</v>
      </c>
      <c r="E941" t="s">
        <v>129</v>
      </c>
      <c r="F941" t="s">
        <v>19</v>
      </c>
      <c r="G941" t="s">
        <v>69</v>
      </c>
      <c r="H941" t="s">
        <v>163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t="s">
        <v>39</v>
      </c>
    </row>
    <row r="942" spans="1:15" x14ac:dyDescent="0.35">
      <c r="A942" t="s">
        <v>1853</v>
      </c>
      <c r="B942" s="1">
        <v>45452</v>
      </c>
      <c r="C942" t="s">
        <v>162</v>
      </c>
      <c r="D942" t="s">
        <v>30</v>
      </c>
      <c r="E942" t="s">
        <v>18</v>
      </c>
      <c r="F942" t="s">
        <v>19</v>
      </c>
      <c r="G942" t="s">
        <v>69</v>
      </c>
      <c r="H942" t="s">
        <v>139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t="s">
        <v>34</v>
      </c>
    </row>
    <row r="943" spans="1:15" x14ac:dyDescent="0.35">
      <c r="A943" t="s">
        <v>1854</v>
      </c>
      <c r="B943" s="1">
        <v>45453</v>
      </c>
      <c r="C943" t="s">
        <v>1855</v>
      </c>
      <c r="D943" t="s">
        <v>30</v>
      </c>
      <c r="E943" t="s">
        <v>18</v>
      </c>
      <c r="F943" t="s">
        <v>19</v>
      </c>
      <c r="G943" t="s">
        <v>69</v>
      </c>
      <c r="H943" t="s">
        <v>163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t="s">
        <v>22</v>
      </c>
    </row>
    <row r="944" spans="1:15" x14ac:dyDescent="0.35">
      <c r="A944" t="s">
        <v>1856</v>
      </c>
      <c r="B944" s="1">
        <v>45455</v>
      </c>
      <c r="C944" t="s">
        <v>1857</v>
      </c>
      <c r="D944" t="s">
        <v>30</v>
      </c>
      <c r="E944" t="s">
        <v>92</v>
      </c>
      <c r="F944" t="s">
        <v>60</v>
      </c>
      <c r="G944" t="s">
        <v>69</v>
      </c>
      <c r="H944" t="s">
        <v>98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t="s">
        <v>22</v>
      </c>
    </row>
    <row r="945" spans="1:15" x14ac:dyDescent="0.35">
      <c r="A945" t="s">
        <v>1858</v>
      </c>
      <c r="B945" s="1">
        <v>45455</v>
      </c>
      <c r="C945" t="s">
        <v>1311</v>
      </c>
      <c r="D945" t="s">
        <v>30</v>
      </c>
      <c r="E945" t="s">
        <v>67</v>
      </c>
      <c r="F945" t="s">
        <v>68</v>
      </c>
      <c r="G945" t="s">
        <v>20</v>
      </c>
      <c r="H945" t="s">
        <v>175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t="s">
        <v>34</v>
      </c>
    </row>
    <row r="946" spans="1:15" x14ac:dyDescent="0.35">
      <c r="A946" t="s">
        <v>1859</v>
      </c>
      <c r="B946" s="1">
        <v>45455</v>
      </c>
      <c r="C946" t="s">
        <v>1860</v>
      </c>
      <c r="D946" t="s">
        <v>17</v>
      </c>
      <c r="E946" t="s">
        <v>59</v>
      </c>
      <c r="F946" t="s">
        <v>60</v>
      </c>
      <c r="G946" t="s">
        <v>20</v>
      </c>
      <c r="H946" t="s">
        <v>264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t="s">
        <v>39</v>
      </c>
    </row>
    <row r="947" spans="1:15" x14ac:dyDescent="0.35">
      <c r="A947" t="s">
        <v>1861</v>
      </c>
      <c r="B947" s="1">
        <v>45457</v>
      </c>
      <c r="C947" t="s">
        <v>942</v>
      </c>
      <c r="D947" t="s">
        <v>17</v>
      </c>
      <c r="E947" t="s">
        <v>138</v>
      </c>
      <c r="F947" t="s">
        <v>54</v>
      </c>
      <c r="G947" t="s">
        <v>20</v>
      </c>
      <c r="H947" t="s">
        <v>199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t="s">
        <v>22</v>
      </c>
    </row>
    <row r="948" spans="1:15" x14ac:dyDescent="0.35">
      <c r="A948" t="s">
        <v>1862</v>
      </c>
      <c r="B948" s="1">
        <v>45458</v>
      </c>
      <c r="C948" t="s">
        <v>1863</v>
      </c>
      <c r="D948" t="s">
        <v>49</v>
      </c>
      <c r="E948" t="s">
        <v>18</v>
      </c>
      <c r="F948" t="s">
        <v>19</v>
      </c>
      <c r="G948" t="s">
        <v>69</v>
      </c>
      <c r="H948" t="s">
        <v>163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t="s">
        <v>39</v>
      </c>
    </row>
    <row r="949" spans="1:15" x14ac:dyDescent="0.35">
      <c r="A949" t="s">
        <v>1864</v>
      </c>
      <c r="B949" s="1">
        <v>45458</v>
      </c>
      <c r="C949" t="s">
        <v>1865</v>
      </c>
      <c r="D949" t="s">
        <v>49</v>
      </c>
      <c r="E949" t="s">
        <v>129</v>
      </c>
      <c r="F949" t="s">
        <v>19</v>
      </c>
      <c r="G949" t="s">
        <v>32</v>
      </c>
      <c r="H949" t="s">
        <v>73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t="s">
        <v>39</v>
      </c>
    </row>
    <row r="950" spans="1:15" x14ac:dyDescent="0.35">
      <c r="A950" t="s">
        <v>1866</v>
      </c>
      <c r="B950" s="1">
        <v>45458</v>
      </c>
      <c r="C950" t="s">
        <v>825</v>
      </c>
      <c r="D950" t="s">
        <v>17</v>
      </c>
      <c r="E950" t="s">
        <v>31</v>
      </c>
      <c r="F950" t="s">
        <v>19</v>
      </c>
      <c r="G950" t="s">
        <v>20</v>
      </c>
      <c r="H950" t="s">
        <v>199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t="s">
        <v>56</v>
      </c>
    </row>
    <row r="951" spans="1:15" x14ac:dyDescent="0.35">
      <c r="A951" t="s">
        <v>1867</v>
      </c>
      <c r="B951" s="1">
        <v>45459</v>
      </c>
      <c r="C951" t="s">
        <v>1868</v>
      </c>
      <c r="D951" t="s">
        <v>30</v>
      </c>
      <c r="E951" t="s">
        <v>37</v>
      </c>
      <c r="F951" t="s">
        <v>26</v>
      </c>
      <c r="G951" t="s">
        <v>42</v>
      </c>
      <c r="H951" t="s">
        <v>118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t="s">
        <v>39</v>
      </c>
    </row>
    <row r="952" spans="1:15" x14ac:dyDescent="0.35">
      <c r="A952" t="s">
        <v>1869</v>
      </c>
      <c r="B952" s="1">
        <v>45461</v>
      </c>
      <c r="C952" t="s">
        <v>1870</v>
      </c>
      <c r="D952" t="s">
        <v>17</v>
      </c>
      <c r="E952" t="s">
        <v>129</v>
      </c>
      <c r="F952" t="s">
        <v>19</v>
      </c>
      <c r="G952" t="s">
        <v>69</v>
      </c>
      <c r="H952" t="s">
        <v>305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t="s">
        <v>34</v>
      </c>
    </row>
    <row r="953" spans="1:15" x14ac:dyDescent="0.35">
      <c r="A953" t="s">
        <v>1871</v>
      </c>
      <c r="B953" s="1">
        <v>45461</v>
      </c>
      <c r="C953" t="s">
        <v>1872</v>
      </c>
      <c r="D953" t="s">
        <v>17</v>
      </c>
      <c r="E953" t="s">
        <v>121</v>
      </c>
      <c r="F953" t="s">
        <v>68</v>
      </c>
      <c r="G953" t="s">
        <v>42</v>
      </c>
      <c r="H953" t="s">
        <v>46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t="s">
        <v>34</v>
      </c>
    </row>
    <row r="954" spans="1:15" x14ac:dyDescent="0.35">
      <c r="A954" t="s">
        <v>1873</v>
      </c>
      <c r="B954" s="1">
        <v>45461</v>
      </c>
      <c r="C954" t="s">
        <v>1874</v>
      </c>
      <c r="D954" t="s">
        <v>17</v>
      </c>
      <c r="E954" t="s">
        <v>129</v>
      </c>
      <c r="F954" t="s">
        <v>19</v>
      </c>
      <c r="G954" t="s">
        <v>20</v>
      </c>
      <c r="H954" t="s">
        <v>55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t="s">
        <v>34</v>
      </c>
    </row>
    <row r="955" spans="1:15" x14ac:dyDescent="0.35">
      <c r="A955" t="s">
        <v>1875</v>
      </c>
      <c r="B955" s="1">
        <v>45462</v>
      </c>
      <c r="C955" t="s">
        <v>1876</v>
      </c>
      <c r="D955" t="s">
        <v>30</v>
      </c>
      <c r="E955" t="s">
        <v>31</v>
      </c>
      <c r="F955" t="s">
        <v>19</v>
      </c>
      <c r="G955" t="s">
        <v>69</v>
      </c>
      <c r="H955" t="s">
        <v>305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t="s">
        <v>39</v>
      </c>
    </row>
    <row r="956" spans="1:15" x14ac:dyDescent="0.35">
      <c r="A956" t="s">
        <v>1877</v>
      </c>
      <c r="B956" s="1">
        <v>45462</v>
      </c>
      <c r="C956" t="s">
        <v>1878</v>
      </c>
      <c r="D956" t="s">
        <v>30</v>
      </c>
      <c r="E956" t="s">
        <v>121</v>
      </c>
      <c r="F956" t="s">
        <v>68</v>
      </c>
      <c r="G956" t="s">
        <v>20</v>
      </c>
      <c r="H956" t="s">
        <v>21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t="s">
        <v>34</v>
      </c>
    </row>
    <row r="957" spans="1:15" x14ac:dyDescent="0.35">
      <c r="A957" t="s">
        <v>1879</v>
      </c>
      <c r="B957" s="1">
        <v>45463</v>
      </c>
      <c r="C957" t="s">
        <v>1880</v>
      </c>
      <c r="D957" t="s">
        <v>30</v>
      </c>
      <c r="E957" t="s">
        <v>129</v>
      </c>
      <c r="F957" t="s">
        <v>19</v>
      </c>
      <c r="G957" t="s">
        <v>20</v>
      </c>
      <c r="H957" t="s">
        <v>122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t="s">
        <v>39</v>
      </c>
    </row>
    <row r="958" spans="1:15" x14ac:dyDescent="0.35">
      <c r="A958" t="s">
        <v>1881</v>
      </c>
      <c r="B958" s="1">
        <v>45463</v>
      </c>
      <c r="C958" t="s">
        <v>1882</v>
      </c>
      <c r="D958" t="s">
        <v>17</v>
      </c>
      <c r="E958" t="s">
        <v>129</v>
      </c>
      <c r="F958" t="s">
        <v>19</v>
      </c>
      <c r="G958" t="s">
        <v>69</v>
      </c>
      <c r="H958" t="s">
        <v>139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t="s">
        <v>22</v>
      </c>
    </row>
    <row r="959" spans="1:15" x14ac:dyDescent="0.35">
      <c r="A959" t="s">
        <v>1883</v>
      </c>
      <c r="B959" s="1">
        <v>45464</v>
      </c>
      <c r="C959" t="s">
        <v>1884</v>
      </c>
      <c r="D959" t="s">
        <v>49</v>
      </c>
      <c r="E959" t="s">
        <v>166</v>
      </c>
      <c r="F959" t="s">
        <v>60</v>
      </c>
      <c r="G959" t="s">
        <v>69</v>
      </c>
      <c r="H959" t="s">
        <v>79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t="s">
        <v>22</v>
      </c>
    </row>
    <row r="960" spans="1:15" x14ac:dyDescent="0.35">
      <c r="A960" t="s">
        <v>1885</v>
      </c>
      <c r="B960" s="1">
        <v>45464</v>
      </c>
      <c r="C960" t="s">
        <v>1886</v>
      </c>
      <c r="D960" t="s">
        <v>49</v>
      </c>
      <c r="E960" t="s">
        <v>53</v>
      </c>
      <c r="F960" t="s">
        <v>54</v>
      </c>
      <c r="G960" t="s">
        <v>69</v>
      </c>
      <c r="H960" t="s">
        <v>163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t="s">
        <v>39</v>
      </c>
    </row>
    <row r="961" spans="1:15" x14ac:dyDescent="0.35">
      <c r="A961" t="s">
        <v>1887</v>
      </c>
      <c r="B961" s="1">
        <v>45465</v>
      </c>
      <c r="C961" t="s">
        <v>1888</v>
      </c>
      <c r="D961" t="s">
        <v>17</v>
      </c>
      <c r="E961" t="s">
        <v>25</v>
      </c>
      <c r="F961" t="s">
        <v>26</v>
      </c>
      <c r="G961" t="s">
        <v>42</v>
      </c>
      <c r="H961" t="s">
        <v>46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t="s">
        <v>34</v>
      </c>
    </row>
    <row r="962" spans="1:15" x14ac:dyDescent="0.35">
      <c r="A962" t="s">
        <v>1889</v>
      </c>
      <c r="B962" s="1">
        <v>45466</v>
      </c>
      <c r="C962" t="s">
        <v>1445</v>
      </c>
      <c r="D962" t="s">
        <v>30</v>
      </c>
      <c r="E962" t="s">
        <v>166</v>
      </c>
      <c r="F962" t="s">
        <v>60</v>
      </c>
      <c r="G962" t="s">
        <v>42</v>
      </c>
      <c r="H962" t="s">
        <v>255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t="s">
        <v>22</v>
      </c>
    </row>
    <row r="963" spans="1:15" x14ac:dyDescent="0.35">
      <c r="A963" t="s">
        <v>1890</v>
      </c>
      <c r="B963" s="1">
        <v>45466</v>
      </c>
      <c r="C963" t="s">
        <v>1891</v>
      </c>
      <c r="D963" t="s">
        <v>30</v>
      </c>
      <c r="E963" t="s">
        <v>25</v>
      </c>
      <c r="F963" t="s">
        <v>26</v>
      </c>
      <c r="G963" t="s">
        <v>32</v>
      </c>
      <c r="H963" t="s">
        <v>348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t="s">
        <v>39</v>
      </c>
    </row>
    <row r="964" spans="1:15" x14ac:dyDescent="0.35">
      <c r="A964" t="s">
        <v>1892</v>
      </c>
      <c r="B964" s="1">
        <v>45467</v>
      </c>
      <c r="C964" t="s">
        <v>1470</v>
      </c>
      <c r="D964" t="s">
        <v>30</v>
      </c>
      <c r="E964" t="s">
        <v>121</v>
      </c>
      <c r="F964" t="s">
        <v>68</v>
      </c>
      <c r="G964" t="s">
        <v>42</v>
      </c>
      <c r="H964" t="s">
        <v>43</v>
      </c>
      <c r="I964">
        <v>7</v>
      </c>
      <c r="J964">
        <v>303.29000000000002</v>
      </c>
      <c r="K964">
        <v>15</v>
      </c>
      <c r="L964">
        <v>1804.58</v>
      </c>
      <c r="M964">
        <v>18.54</v>
      </c>
      <c r="N964">
        <v>512.22</v>
      </c>
      <c r="O964" t="s">
        <v>39</v>
      </c>
    </row>
    <row r="965" spans="1:15" x14ac:dyDescent="0.35">
      <c r="A965" t="s">
        <v>1893</v>
      </c>
      <c r="B965" s="1">
        <v>45467</v>
      </c>
      <c r="C965" t="s">
        <v>1894</v>
      </c>
      <c r="D965" t="s">
        <v>17</v>
      </c>
      <c r="E965" t="s">
        <v>63</v>
      </c>
      <c r="F965" t="s">
        <v>54</v>
      </c>
      <c r="G965" t="s">
        <v>20</v>
      </c>
      <c r="H965" t="s">
        <v>38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t="s">
        <v>56</v>
      </c>
    </row>
    <row r="966" spans="1:15" x14ac:dyDescent="0.35">
      <c r="A966" t="s">
        <v>1895</v>
      </c>
      <c r="B966" s="1">
        <v>45467</v>
      </c>
      <c r="C966" t="s">
        <v>952</v>
      </c>
      <c r="D966" t="s">
        <v>30</v>
      </c>
      <c r="E966" t="s">
        <v>59</v>
      </c>
      <c r="F966" t="s">
        <v>60</v>
      </c>
      <c r="G966" t="s">
        <v>32</v>
      </c>
      <c r="H966" t="s">
        <v>33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t="s">
        <v>39</v>
      </c>
    </row>
    <row r="967" spans="1:15" x14ac:dyDescent="0.35">
      <c r="A967" t="s">
        <v>1896</v>
      </c>
      <c r="B967" s="1">
        <v>45468</v>
      </c>
      <c r="C967" t="s">
        <v>708</v>
      </c>
      <c r="D967" t="s">
        <v>49</v>
      </c>
      <c r="E967" t="s">
        <v>248</v>
      </c>
      <c r="F967" t="s">
        <v>26</v>
      </c>
      <c r="G967" t="s">
        <v>32</v>
      </c>
      <c r="H967" t="s">
        <v>110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t="s">
        <v>22</v>
      </c>
    </row>
    <row r="968" spans="1:15" x14ac:dyDescent="0.35">
      <c r="A968" t="s">
        <v>1897</v>
      </c>
      <c r="B968" s="1">
        <v>45469</v>
      </c>
      <c r="C968" t="s">
        <v>1126</v>
      </c>
      <c r="D968" t="s">
        <v>17</v>
      </c>
      <c r="E968" t="s">
        <v>169</v>
      </c>
      <c r="F968" t="s">
        <v>68</v>
      </c>
      <c r="G968" t="s">
        <v>42</v>
      </c>
      <c r="H968" t="s">
        <v>64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t="s">
        <v>34</v>
      </c>
    </row>
    <row r="969" spans="1:15" x14ac:dyDescent="0.35">
      <c r="A969" t="s">
        <v>1898</v>
      </c>
      <c r="B969" s="1">
        <v>45469</v>
      </c>
      <c r="C969" t="s">
        <v>1899</v>
      </c>
      <c r="D969" t="s">
        <v>49</v>
      </c>
      <c r="E969" t="s">
        <v>31</v>
      </c>
      <c r="F969" t="s">
        <v>19</v>
      </c>
      <c r="G969" t="s">
        <v>32</v>
      </c>
      <c r="H969" t="s">
        <v>132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t="s">
        <v>34</v>
      </c>
    </row>
    <row r="970" spans="1:15" x14ac:dyDescent="0.35">
      <c r="A970" t="s">
        <v>1900</v>
      </c>
      <c r="B970" s="1">
        <v>45471</v>
      </c>
      <c r="C970" t="s">
        <v>1901</v>
      </c>
      <c r="D970" t="s">
        <v>30</v>
      </c>
      <c r="E970" t="s">
        <v>248</v>
      </c>
      <c r="F970" t="s">
        <v>26</v>
      </c>
      <c r="G970" t="s">
        <v>42</v>
      </c>
      <c r="H970" t="s">
        <v>294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t="s">
        <v>34</v>
      </c>
    </row>
    <row r="971" spans="1:15" x14ac:dyDescent="0.35">
      <c r="A971" t="s">
        <v>1902</v>
      </c>
      <c r="B971" s="1">
        <v>45471</v>
      </c>
      <c r="C971" t="s">
        <v>1903</v>
      </c>
      <c r="D971" t="s">
        <v>30</v>
      </c>
      <c r="E971" t="s">
        <v>85</v>
      </c>
      <c r="F971" t="s">
        <v>60</v>
      </c>
      <c r="G971" t="s">
        <v>42</v>
      </c>
      <c r="H971" t="s">
        <v>234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t="s">
        <v>34</v>
      </c>
    </row>
    <row r="972" spans="1:15" x14ac:dyDescent="0.35">
      <c r="A972" t="s">
        <v>1904</v>
      </c>
      <c r="B972" s="1">
        <v>45472</v>
      </c>
      <c r="C972" t="s">
        <v>1905</v>
      </c>
      <c r="D972" t="s">
        <v>30</v>
      </c>
      <c r="E972" t="s">
        <v>31</v>
      </c>
      <c r="F972" t="s">
        <v>19</v>
      </c>
      <c r="G972" t="s">
        <v>32</v>
      </c>
      <c r="H972" t="s">
        <v>33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t="s">
        <v>39</v>
      </c>
    </row>
    <row r="973" spans="1:15" x14ac:dyDescent="0.35">
      <c r="A973" t="s">
        <v>1906</v>
      </c>
      <c r="B973" s="1">
        <v>45473</v>
      </c>
      <c r="C973" t="s">
        <v>1907</v>
      </c>
      <c r="D973" t="s">
        <v>17</v>
      </c>
      <c r="E973" t="s">
        <v>25</v>
      </c>
      <c r="F973" t="s">
        <v>26</v>
      </c>
      <c r="G973" t="s">
        <v>69</v>
      </c>
      <c r="H973" t="s">
        <v>305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t="s">
        <v>34</v>
      </c>
    </row>
    <row r="974" spans="1:15" x14ac:dyDescent="0.35">
      <c r="A974" t="s">
        <v>1908</v>
      </c>
      <c r="B974" s="1">
        <v>45473</v>
      </c>
      <c r="C974" t="s">
        <v>1909</v>
      </c>
      <c r="D974" t="s">
        <v>30</v>
      </c>
      <c r="E974" t="s">
        <v>31</v>
      </c>
      <c r="F974" t="s">
        <v>19</v>
      </c>
      <c r="G974" t="s">
        <v>69</v>
      </c>
      <c r="H974" t="s">
        <v>98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t="s">
        <v>34</v>
      </c>
    </row>
    <row r="975" spans="1:15" x14ac:dyDescent="0.35">
      <c r="A975" t="s">
        <v>1910</v>
      </c>
      <c r="B975" s="1">
        <v>45474</v>
      </c>
      <c r="C975" t="s">
        <v>1911</v>
      </c>
      <c r="D975" t="s">
        <v>17</v>
      </c>
      <c r="E975" t="s">
        <v>248</v>
      </c>
      <c r="F975" t="s">
        <v>26</v>
      </c>
      <c r="G975" t="s">
        <v>20</v>
      </c>
      <c r="H975" t="s">
        <v>264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t="s">
        <v>34</v>
      </c>
    </row>
    <row r="976" spans="1:15" x14ac:dyDescent="0.35">
      <c r="A976" t="s">
        <v>1912</v>
      </c>
      <c r="B976" s="1">
        <v>45474</v>
      </c>
      <c r="C976" t="s">
        <v>1913</v>
      </c>
      <c r="D976" t="s">
        <v>30</v>
      </c>
      <c r="E976" t="s">
        <v>37</v>
      </c>
      <c r="F976" t="s">
        <v>26</v>
      </c>
      <c r="G976" t="s">
        <v>69</v>
      </c>
      <c r="H976" t="s">
        <v>196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t="s">
        <v>34</v>
      </c>
    </row>
    <row r="977" spans="1:15" x14ac:dyDescent="0.35">
      <c r="A977" t="s">
        <v>1914</v>
      </c>
      <c r="B977" s="1">
        <v>45475</v>
      </c>
      <c r="C977" t="s">
        <v>1915</v>
      </c>
      <c r="D977" t="s">
        <v>30</v>
      </c>
      <c r="E977" t="s">
        <v>92</v>
      </c>
      <c r="F977" t="s">
        <v>60</v>
      </c>
      <c r="G977" t="s">
        <v>69</v>
      </c>
      <c r="H977" t="s">
        <v>196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t="s">
        <v>56</v>
      </c>
    </row>
    <row r="978" spans="1:15" x14ac:dyDescent="0.35">
      <c r="A978" t="s">
        <v>1916</v>
      </c>
      <c r="B978" s="1">
        <v>45475</v>
      </c>
      <c r="C978" t="s">
        <v>473</v>
      </c>
      <c r="D978" t="s">
        <v>30</v>
      </c>
      <c r="E978" t="s">
        <v>31</v>
      </c>
      <c r="F978" t="s">
        <v>19</v>
      </c>
      <c r="G978" t="s">
        <v>42</v>
      </c>
      <c r="H978" t="s">
        <v>43</v>
      </c>
      <c r="I978">
        <v>7</v>
      </c>
      <c r="J978">
        <v>157.04</v>
      </c>
      <c r="K978">
        <v>0</v>
      </c>
      <c r="L978">
        <v>1099.28</v>
      </c>
      <c r="M978">
        <v>10.119999999999999</v>
      </c>
      <c r="N978">
        <v>429.59</v>
      </c>
      <c r="O978" t="s">
        <v>34</v>
      </c>
    </row>
    <row r="979" spans="1:15" x14ac:dyDescent="0.35">
      <c r="A979" t="s">
        <v>1917</v>
      </c>
      <c r="B979" s="1">
        <v>45476</v>
      </c>
      <c r="C979" t="s">
        <v>1918</v>
      </c>
      <c r="D979" t="s">
        <v>30</v>
      </c>
      <c r="E979" t="s">
        <v>25</v>
      </c>
      <c r="F979" t="s">
        <v>26</v>
      </c>
      <c r="G979" t="s">
        <v>32</v>
      </c>
      <c r="H979" t="s">
        <v>101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t="s">
        <v>39</v>
      </c>
    </row>
    <row r="980" spans="1:15" x14ac:dyDescent="0.35">
      <c r="A980" t="s">
        <v>1919</v>
      </c>
      <c r="B980" s="1">
        <v>45476</v>
      </c>
      <c r="C980" t="s">
        <v>1920</v>
      </c>
      <c r="D980" t="s">
        <v>17</v>
      </c>
      <c r="E980" t="s">
        <v>92</v>
      </c>
      <c r="F980" t="s">
        <v>60</v>
      </c>
      <c r="G980" t="s">
        <v>32</v>
      </c>
      <c r="H980" t="s">
        <v>115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t="s">
        <v>34</v>
      </c>
    </row>
    <row r="981" spans="1:15" x14ac:dyDescent="0.35">
      <c r="A981" t="s">
        <v>1921</v>
      </c>
      <c r="B981" s="1">
        <v>45477</v>
      </c>
      <c r="C981" t="s">
        <v>1922</v>
      </c>
      <c r="D981" t="s">
        <v>30</v>
      </c>
      <c r="E981" t="s">
        <v>25</v>
      </c>
      <c r="F981" t="s">
        <v>26</v>
      </c>
      <c r="G981" t="s">
        <v>32</v>
      </c>
      <c r="H981" t="s">
        <v>348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t="s">
        <v>34</v>
      </c>
    </row>
    <row r="982" spans="1:15" x14ac:dyDescent="0.35">
      <c r="A982" t="s">
        <v>1923</v>
      </c>
      <c r="B982" s="1">
        <v>45478</v>
      </c>
      <c r="C982" t="s">
        <v>1924</v>
      </c>
      <c r="D982" t="s">
        <v>49</v>
      </c>
      <c r="E982" t="s">
        <v>248</v>
      </c>
      <c r="F982" t="s">
        <v>26</v>
      </c>
      <c r="G982" t="s">
        <v>32</v>
      </c>
      <c r="H982" t="s">
        <v>132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t="s">
        <v>56</v>
      </c>
    </row>
    <row r="983" spans="1:15" x14ac:dyDescent="0.35">
      <c r="A983" t="s">
        <v>1925</v>
      </c>
      <c r="B983" s="1">
        <v>45478</v>
      </c>
      <c r="C983" t="s">
        <v>1926</v>
      </c>
      <c r="D983" t="s">
        <v>30</v>
      </c>
      <c r="E983" t="s">
        <v>18</v>
      </c>
      <c r="F983" t="s">
        <v>19</v>
      </c>
      <c r="G983" t="s">
        <v>32</v>
      </c>
      <c r="H983" t="s">
        <v>82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t="s">
        <v>22</v>
      </c>
    </row>
    <row r="984" spans="1:15" x14ac:dyDescent="0.35">
      <c r="A984" t="s">
        <v>1927</v>
      </c>
      <c r="B984" s="1">
        <v>45478</v>
      </c>
      <c r="C984" t="s">
        <v>1928</v>
      </c>
      <c r="D984" t="s">
        <v>17</v>
      </c>
      <c r="E984" t="s">
        <v>76</v>
      </c>
      <c r="F984" t="s">
        <v>26</v>
      </c>
      <c r="G984" t="s">
        <v>20</v>
      </c>
      <c r="H984" t="s">
        <v>264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t="s">
        <v>22</v>
      </c>
    </row>
    <row r="985" spans="1:15" x14ac:dyDescent="0.35">
      <c r="A985" t="s">
        <v>1929</v>
      </c>
      <c r="B985" s="1">
        <v>45478</v>
      </c>
      <c r="C985" t="s">
        <v>1930</v>
      </c>
      <c r="D985" t="s">
        <v>30</v>
      </c>
      <c r="E985" t="s">
        <v>135</v>
      </c>
      <c r="F985" t="s">
        <v>26</v>
      </c>
      <c r="G985" t="s">
        <v>20</v>
      </c>
      <c r="H985" t="s">
        <v>264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t="s">
        <v>34</v>
      </c>
    </row>
    <row r="986" spans="1:15" x14ac:dyDescent="0.35">
      <c r="A986" t="s">
        <v>1931</v>
      </c>
      <c r="B986" s="1">
        <v>45478</v>
      </c>
      <c r="C986" t="s">
        <v>919</v>
      </c>
      <c r="D986" t="s">
        <v>17</v>
      </c>
      <c r="E986" t="s">
        <v>18</v>
      </c>
      <c r="F986" t="s">
        <v>19</v>
      </c>
      <c r="G986" t="s">
        <v>42</v>
      </c>
      <c r="H986" t="s">
        <v>255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t="s">
        <v>39</v>
      </c>
    </row>
    <row r="987" spans="1:15" x14ac:dyDescent="0.35">
      <c r="A987" t="s">
        <v>1932</v>
      </c>
      <c r="B987" s="1">
        <v>45479</v>
      </c>
      <c r="C987" t="s">
        <v>1933</v>
      </c>
      <c r="D987" t="s">
        <v>30</v>
      </c>
      <c r="E987" t="s">
        <v>31</v>
      </c>
      <c r="F987" t="s">
        <v>19</v>
      </c>
      <c r="G987" t="s">
        <v>32</v>
      </c>
      <c r="H987" t="s">
        <v>115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t="s">
        <v>34</v>
      </c>
    </row>
    <row r="988" spans="1:15" x14ac:dyDescent="0.35">
      <c r="A988" t="s">
        <v>1934</v>
      </c>
      <c r="B988" s="1">
        <v>45479</v>
      </c>
      <c r="C988" t="s">
        <v>1935</v>
      </c>
      <c r="D988" t="s">
        <v>17</v>
      </c>
      <c r="E988" t="s">
        <v>25</v>
      </c>
      <c r="F988" t="s">
        <v>26</v>
      </c>
      <c r="G988" t="s">
        <v>20</v>
      </c>
      <c r="H988" t="s">
        <v>170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t="s">
        <v>34</v>
      </c>
    </row>
    <row r="989" spans="1:15" x14ac:dyDescent="0.35">
      <c r="A989" t="s">
        <v>1936</v>
      </c>
      <c r="B989" s="1">
        <v>45479</v>
      </c>
      <c r="C989" t="s">
        <v>179</v>
      </c>
      <c r="D989" t="s">
        <v>30</v>
      </c>
      <c r="E989" t="s">
        <v>31</v>
      </c>
      <c r="F989" t="s">
        <v>19</v>
      </c>
      <c r="G989" t="s">
        <v>32</v>
      </c>
      <c r="H989" t="s">
        <v>115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t="s">
        <v>34</v>
      </c>
    </row>
    <row r="990" spans="1:15" x14ac:dyDescent="0.35">
      <c r="A990" t="s">
        <v>1937</v>
      </c>
      <c r="B990" s="1">
        <v>45480</v>
      </c>
      <c r="C990" t="s">
        <v>1938</v>
      </c>
      <c r="D990" t="s">
        <v>17</v>
      </c>
      <c r="E990" t="s">
        <v>129</v>
      </c>
      <c r="F990" t="s">
        <v>19</v>
      </c>
      <c r="G990" t="s">
        <v>20</v>
      </c>
      <c r="H990" t="s">
        <v>264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t="s">
        <v>22</v>
      </c>
    </row>
    <row r="991" spans="1:15" x14ac:dyDescent="0.35">
      <c r="A991" t="s">
        <v>1939</v>
      </c>
      <c r="B991" s="1">
        <v>45480</v>
      </c>
      <c r="C991" t="s">
        <v>1940</v>
      </c>
      <c r="D991" t="s">
        <v>30</v>
      </c>
      <c r="E991" t="s">
        <v>121</v>
      </c>
      <c r="F991" t="s">
        <v>68</v>
      </c>
      <c r="G991" t="s">
        <v>20</v>
      </c>
      <c r="H991" t="s">
        <v>175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t="s">
        <v>22</v>
      </c>
    </row>
    <row r="992" spans="1:15" x14ac:dyDescent="0.35">
      <c r="A992" t="s">
        <v>1941</v>
      </c>
      <c r="B992" s="1">
        <v>45481</v>
      </c>
      <c r="C992" t="s">
        <v>1942</v>
      </c>
      <c r="D992" t="s">
        <v>30</v>
      </c>
      <c r="E992" t="s">
        <v>76</v>
      </c>
      <c r="F992" t="s">
        <v>26</v>
      </c>
      <c r="G992" t="s">
        <v>42</v>
      </c>
      <c r="H992" t="s">
        <v>93</v>
      </c>
      <c r="I992">
        <v>10</v>
      </c>
      <c r="J992">
        <v>305.38</v>
      </c>
      <c r="K992">
        <v>5</v>
      </c>
      <c r="L992">
        <v>2901.11</v>
      </c>
      <c r="M992">
        <v>14.57</v>
      </c>
      <c r="N992">
        <v>1054.26</v>
      </c>
      <c r="O992" t="s">
        <v>34</v>
      </c>
    </row>
    <row r="993" spans="1:15" x14ac:dyDescent="0.35">
      <c r="A993" t="s">
        <v>1943</v>
      </c>
      <c r="B993" s="1">
        <v>45482</v>
      </c>
      <c r="C993" t="s">
        <v>1944</v>
      </c>
      <c r="D993" t="s">
        <v>30</v>
      </c>
      <c r="E993" t="s">
        <v>248</v>
      </c>
      <c r="F993" t="s">
        <v>26</v>
      </c>
      <c r="G993" t="s">
        <v>69</v>
      </c>
      <c r="H993" t="s">
        <v>79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t="s">
        <v>56</v>
      </c>
    </row>
    <row r="994" spans="1:15" x14ac:dyDescent="0.35">
      <c r="A994" t="s">
        <v>1945</v>
      </c>
      <c r="B994" s="1">
        <v>45482</v>
      </c>
      <c r="C994" t="s">
        <v>1946</v>
      </c>
      <c r="D994" t="s">
        <v>17</v>
      </c>
      <c r="E994" t="s">
        <v>129</v>
      </c>
      <c r="F994" t="s">
        <v>19</v>
      </c>
      <c r="G994" t="s">
        <v>32</v>
      </c>
      <c r="H994" t="s">
        <v>101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t="s">
        <v>34</v>
      </c>
    </row>
    <row r="995" spans="1:15" x14ac:dyDescent="0.35">
      <c r="A995" t="s">
        <v>1947</v>
      </c>
      <c r="B995" s="1">
        <v>45482</v>
      </c>
      <c r="C995" t="s">
        <v>1948</v>
      </c>
      <c r="D995" t="s">
        <v>49</v>
      </c>
      <c r="E995" t="s">
        <v>18</v>
      </c>
      <c r="F995" t="s">
        <v>19</v>
      </c>
      <c r="G995" t="s">
        <v>69</v>
      </c>
      <c r="H995" t="s">
        <v>139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t="s">
        <v>34</v>
      </c>
    </row>
    <row r="996" spans="1:15" x14ac:dyDescent="0.35">
      <c r="A996" t="s">
        <v>1949</v>
      </c>
      <c r="B996" s="1">
        <v>45483</v>
      </c>
      <c r="C996" t="s">
        <v>1022</v>
      </c>
      <c r="D996" t="s">
        <v>30</v>
      </c>
      <c r="E996" t="s">
        <v>135</v>
      </c>
      <c r="F996" t="s">
        <v>26</v>
      </c>
      <c r="G996" t="s">
        <v>69</v>
      </c>
      <c r="H996" t="s">
        <v>70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t="s">
        <v>39</v>
      </c>
    </row>
    <row r="997" spans="1:15" x14ac:dyDescent="0.35">
      <c r="A997" t="s">
        <v>1950</v>
      </c>
      <c r="B997" s="1">
        <v>45483</v>
      </c>
      <c r="C997" t="s">
        <v>1667</v>
      </c>
      <c r="D997" t="s">
        <v>49</v>
      </c>
      <c r="E997" t="s">
        <v>129</v>
      </c>
      <c r="F997" t="s">
        <v>19</v>
      </c>
      <c r="G997" t="s">
        <v>69</v>
      </c>
      <c r="H997" t="s">
        <v>139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t="s">
        <v>39</v>
      </c>
    </row>
    <row r="998" spans="1:15" x14ac:dyDescent="0.35">
      <c r="A998" t="s">
        <v>1951</v>
      </c>
      <c r="B998" s="1">
        <v>45484</v>
      </c>
      <c r="C998" t="s">
        <v>579</v>
      </c>
      <c r="D998" t="s">
        <v>17</v>
      </c>
      <c r="E998" t="s">
        <v>18</v>
      </c>
      <c r="F998" t="s">
        <v>19</v>
      </c>
      <c r="G998" t="s">
        <v>42</v>
      </c>
      <c r="H998" t="s">
        <v>294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t="s">
        <v>34</v>
      </c>
    </row>
    <row r="999" spans="1:15" x14ac:dyDescent="0.35">
      <c r="A999" t="s">
        <v>1952</v>
      </c>
      <c r="B999" s="1">
        <v>45484</v>
      </c>
      <c r="C999" t="s">
        <v>437</v>
      </c>
      <c r="D999" t="s">
        <v>30</v>
      </c>
      <c r="E999" t="s">
        <v>92</v>
      </c>
      <c r="F999" t="s">
        <v>60</v>
      </c>
      <c r="G999" t="s">
        <v>32</v>
      </c>
      <c r="H999" t="s">
        <v>132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t="s">
        <v>39</v>
      </c>
    </row>
    <row r="1000" spans="1:15" x14ac:dyDescent="0.35">
      <c r="A1000" t="s">
        <v>1953</v>
      </c>
      <c r="B1000" s="1">
        <v>45484</v>
      </c>
      <c r="C1000" t="s">
        <v>441</v>
      </c>
      <c r="D1000" t="s">
        <v>30</v>
      </c>
      <c r="E1000" t="s">
        <v>92</v>
      </c>
      <c r="F1000" t="s">
        <v>60</v>
      </c>
      <c r="G1000" t="s">
        <v>20</v>
      </c>
      <c r="H1000" t="s">
        <v>27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t="s">
        <v>39</v>
      </c>
    </row>
    <row r="1001" spans="1:15" x14ac:dyDescent="0.35">
      <c r="A1001" t="s">
        <v>1954</v>
      </c>
      <c r="B1001" s="1">
        <v>45485</v>
      </c>
      <c r="C1001" t="s">
        <v>1880</v>
      </c>
      <c r="D1001" t="s">
        <v>17</v>
      </c>
      <c r="E1001" t="s">
        <v>18</v>
      </c>
      <c r="F1001" t="s">
        <v>19</v>
      </c>
      <c r="G1001" t="s">
        <v>20</v>
      </c>
      <c r="H1001" t="s">
        <v>122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t="s">
        <v>34</v>
      </c>
    </row>
    <row r="1002" spans="1:15" x14ac:dyDescent="0.35">
      <c r="A1002" t="s">
        <v>1955</v>
      </c>
      <c r="B1002" s="1">
        <v>45486</v>
      </c>
      <c r="C1002" t="s">
        <v>1351</v>
      </c>
      <c r="D1002" t="s">
        <v>30</v>
      </c>
      <c r="E1002" t="s">
        <v>92</v>
      </c>
      <c r="F1002" t="s">
        <v>60</v>
      </c>
      <c r="G1002" t="s">
        <v>20</v>
      </c>
      <c r="H1002" t="s">
        <v>38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t="s">
        <v>39</v>
      </c>
    </row>
    <row r="1003" spans="1:15" x14ac:dyDescent="0.35">
      <c r="A1003" t="s">
        <v>1956</v>
      </c>
      <c r="B1003" s="1">
        <v>45487</v>
      </c>
      <c r="C1003" t="s">
        <v>1256</v>
      </c>
      <c r="D1003" t="s">
        <v>30</v>
      </c>
      <c r="E1003" t="s">
        <v>76</v>
      </c>
      <c r="F1003" t="s">
        <v>26</v>
      </c>
      <c r="G1003" t="s">
        <v>69</v>
      </c>
      <c r="H1003" t="s">
        <v>79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t="s">
        <v>34</v>
      </c>
    </row>
    <row r="1004" spans="1:15" x14ac:dyDescent="0.35">
      <c r="A1004" t="s">
        <v>1957</v>
      </c>
      <c r="B1004" s="1">
        <v>45487</v>
      </c>
      <c r="C1004" t="s">
        <v>1958</v>
      </c>
      <c r="D1004" t="s">
        <v>30</v>
      </c>
      <c r="E1004" t="s">
        <v>76</v>
      </c>
      <c r="F1004" t="s">
        <v>26</v>
      </c>
      <c r="G1004" t="s">
        <v>42</v>
      </c>
      <c r="H1004" t="s">
        <v>118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t="s">
        <v>56</v>
      </c>
    </row>
    <row r="1005" spans="1:15" x14ac:dyDescent="0.35">
      <c r="A1005" t="s">
        <v>1959</v>
      </c>
      <c r="B1005" s="1">
        <v>45488</v>
      </c>
      <c r="C1005" t="s">
        <v>1960</v>
      </c>
      <c r="D1005" t="s">
        <v>49</v>
      </c>
      <c r="E1005" t="s">
        <v>31</v>
      </c>
      <c r="F1005" t="s">
        <v>19</v>
      </c>
      <c r="G1005" t="s">
        <v>20</v>
      </c>
      <c r="H1005" t="s">
        <v>27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t="s">
        <v>34</v>
      </c>
    </row>
    <row r="1006" spans="1:15" x14ac:dyDescent="0.35">
      <c r="A1006" t="s">
        <v>1961</v>
      </c>
      <c r="B1006" s="1">
        <v>45488</v>
      </c>
      <c r="C1006" t="s">
        <v>1962</v>
      </c>
      <c r="D1006" t="s">
        <v>17</v>
      </c>
      <c r="E1006" t="s">
        <v>109</v>
      </c>
      <c r="F1006" t="s">
        <v>54</v>
      </c>
      <c r="G1006" t="s">
        <v>69</v>
      </c>
      <c r="H1006" t="s">
        <v>243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t="s">
        <v>22</v>
      </c>
    </row>
    <row r="1007" spans="1:15" x14ac:dyDescent="0.35">
      <c r="A1007" t="s">
        <v>1963</v>
      </c>
      <c r="B1007" s="1">
        <v>45488</v>
      </c>
      <c r="C1007" t="s">
        <v>1964</v>
      </c>
      <c r="D1007" t="s">
        <v>17</v>
      </c>
      <c r="E1007" t="s">
        <v>129</v>
      </c>
      <c r="F1007" t="s">
        <v>19</v>
      </c>
      <c r="G1007" t="s">
        <v>42</v>
      </c>
      <c r="H1007" t="s">
        <v>46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t="s">
        <v>34</v>
      </c>
    </row>
    <row r="1008" spans="1:15" x14ac:dyDescent="0.35">
      <c r="A1008" t="s">
        <v>1965</v>
      </c>
      <c r="B1008" s="1">
        <v>45489</v>
      </c>
      <c r="C1008" t="s">
        <v>1966</v>
      </c>
      <c r="D1008" t="s">
        <v>30</v>
      </c>
      <c r="E1008" t="s">
        <v>31</v>
      </c>
      <c r="F1008" t="s">
        <v>19</v>
      </c>
      <c r="G1008" t="s">
        <v>20</v>
      </c>
      <c r="H1008" t="s">
        <v>122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t="s">
        <v>39</v>
      </c>
    </row>
    <row r="1009" spans="1:15" x14ac:dyDescent="0.35">
      <c r="A1009" t="s">
        <v>1967</v>
      </c>
      <c r="B1009" s="1">
        <v>45492</v>
      </c>
      <c r="C1009" t="s">
        <v>1968</v>
      </c>
      <c r="D1009" t="s">
        <v>30</v>
      </c>
      <c r="E1009" t="s">
        <v>248</v>
      </c>
      <c r="F1009" t="s">
        <v>26</v>
      </c>
      <c r="G1009" t="s">
        <v>42</v>
      </c>
      <c r="H1009" t="s">
        <v>93</v>
      </c>
      <c r="I1009">
        <v>4</v>
      </c>
      <c r="J1009">
        <v>425.29</v>
      </c>
      <c r="K1009">
        <v>5</v>
      </c>
      <c r="L1009">
        <v>1616.1</v>
      </c>
      <c r="M1009">
        <v>12.36</v>
      </c>
      <c r="N1009">
        <v>583.04</v>
      </c>
      <c r="O1009" t="s">
        <v>39</v>
      </c>
    </row>
    <row r="1010" spans="1:15" x14ac:dyDescent="0.35">
      <c r="A1010" t="s">
        <v>1969</v>
      </c>
      <c r="B1010" s="1">
        <v>45492</v>
      </c>
      <c r="C1010" t="s">
        <v>1970</v>
      </c>
      <c r="D1010" t="s">
        <v>49</v>
      </c>
      <c r="E1010" t="s">
        <v>18</v>
      </c>
      <c r="F1010" t="s">
        <v>19</v>
      </c>
      <c r="G1010" t="s">
        <v>20</v>
      </c>
      <c r="H1010" t="s">
        <v>106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t="s">
        <v>22</v>
      </c>
    </row>
    <row r="1011" spans="1:15" x14ac:dyDescent="0.35">
      <c r="A1011" t="s">
        <v>1971</v>
      </c>
      <c r="B1011" s="1">
        <v>45494</v>
      </c>
      <c r="C1011" t="s">
        <v>1972</v>
      </c>
      <c r="D1011" t="s">
        <v>30</v>
      </c>
      <c r="E1011" t="s">
        <v>18</v>
      </c>
      <c r="F1011" t="s">
        <v>19</v>
      </c>
      <c r="G1011" t="s">
        <v>69</v>
      </c>
      <c r="H1011" t="s">
        <v>243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t="s">
        <v>22</v>
      </c>
    </row>
    <row r="1012" spans="1:15" x14ac:dyDescent="0.35">
      <c r="A1012" t="s">
        <v>1973</v>
      </c>
      <c r="B1012" s="1">
        <v>45496</v>
      </c>
      <c r="C1012" t="s">
        <v>1974</v>
      </c>
      <c r="D1012" t="s">
        <v>17</v>
      </c>
      <c r="E1012" t="s">
        <v>85</v>
      </c>
      <c r="F1012" t="s">
        <v>60</v>
      </c>
      <c r="G1012" t="s">
        <v>20</v>
      </c>
      <c r="H1012" t="s">
        <v>21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t="s">
        <v>39</v>
      </c>
    </row>
    <row r="1013" spans="1:15" x14ac:dyDescent="0.35">
      <c r="A1013" t="s">
        <v>1975</v>
      </c>
      <c r="B1013" s="1">
        <v>45497</v>
      </c>
      <c r="C1013" t="s">
        <v>1313</v>
      </c>
      <c r="D1013" t="s">
        <v>17</v>
      </c>
      <c r="E1013" t="s">
        <v>248</v>
      </c>
      <c r="F1013" t="s">
        <v>26</v>
      </c>
      <c r="G1013" t="s">
        <v>32</v>
      </c>
      <c r="H1013" t="s">
        <v>110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t="s">
        <v>39</v>
      </c>
    </row>
    <row r="1014" spans="1:15" x14ac:dyDescent="0.35">
      <c r="A1014" t="s">
        <v>1976</v>
      </c>
      <c r="B1014" s="1">
        <v>45498</v>
      </c>
      <c r="C1014" t="s">
        <v>1977</v>
      </c>
      <c r="D1014" t="s">
        <v>30</v>
      </c>
      <c r="E1014" t="s">
        <v>92</v>
      </c>
      <c r="F1014" t="s">
        <v>60</v>
      </c>
      <c r="G1014" t="s">
        <v>42</v>
      </c>
      <c r="H1014" t="s">
        <v>255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t="s">
        <v>39</v>
      </c>
    </row>
    <row r="1015" spans="1:15" x14ac:dyDescent="0.35">
      <c r="A1015" t="s">
        <v>1978</v>
      </c>
      <c r="B1015" s="1">
        <v>45499</v>
      </c>
      <c r="C1015" t="s">
        <v>718</v>
      </c>
      <c r="D1015" t="s">
        <v>30</v>
      </c>
      <c r="E1015" t="s">
        <v>25</v>
      </c>
      <c r="F1015" t="s">
        <v>26</v>
      </c>
      <c r="G1015" t="s">
        <v>69</v>
      </c>
      <c r="H1015" t="s">
        <v>79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t="s">
        <v>56</v>
      </c>
    </row>
    <row r="1016" spans="1:15" x14ac:dyDescent="0.35">
      <c r="A1016" t="s">
        <v>1979</v>
      </c>
      <c r="B1016" s="1">
        <v>45499</v>
      </c>
      <c r="C1016" t="s">
        <v>504</v>
      </c>
      <c r="D1016" t="s">
        <v>30</v>
      </c>
      <c r="E1016" t="s">
        <v>129</v>
      </c>
      <c r="F1016" t="s">
        <v>19</v>
      </c>
      <c r="G1016" t="s">
        <v>20</v>
      </c>
      <c r="H1016" t="s">
        <v>21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t="s">
        <v>34</v>
      </c>
    </row>
    <row r="1017" spans="1:15" x14ac:dyDescent="0.35">
      <c r="A1017" t="s">
        <v>1980</v>
      </c>
      <c r="B1017" s="1">
        <v>45500</v>
      </c>
      <c r="C1017" t="s">
        <v>877</v>
      </c>
      <c r="D1017" t="s">
        <v>30</v>
      </c>
      <c r="E1017" t="s">
        <v>148</v>
      </c>
      <c r="F1017" t="s">
        <v>60</v>
      </c>
      <c r="G1017" t="s">
        <v>42</v>
      </c>
      <c r="H1017" t="s">
        <v>64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t="s">
        <v>34</v>
      </c>
    </row>
    <row r="1018" spans="1:15" x14ac:dyDescent="0.35">
      <c r="A1018" t="s">
        <v>1981</v>
      </c>
      <c r="B1018" s="1">
        <v>45500</v>
      </c>
      <c r="C1018" t="s">
        <v>1982</v>
      </c>
      <c r="D1018" t="s">
        <v>30</v>
      </c>
      <c r="E1018" t="s">
        <v>76</v>
      </c>
      <c r="F1018" t="s">
        <v>26</v>
      </c>
      <c r="G1018" t="s">
        <v>20</v>
      </c>
      <c r="H1018" t="s">
        <v>38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t="s">
        <v>22</v>
      </c>
    </row>
    <row r="1019" spans="1:15" x14ac:dyDescent="0.35">
      <c r="A1019" t="s">
        <v>1983</v>
      </c>
      <c r="B1019" s="1">
        <v>45500</v>
      </c>
      <c r="C1019" t="s">
        <v>774</v>
      </c>
      <c r="D1019" t="s">
        <v>17</v>
      </c>
      <c r="E1019" t="s">
        <v>18</v>
      </c>
      <c r="F1019" t="s">
        <v>19</v>
      </c>
      <c r="G1019" t="s">
        <v>20</v>
      </c>
      <c r="H1019" t="s">
        <v>175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t="s">
        <v>34</v>
      </c>
    </row>
    <row r="1020" spans="1:15" x14ac:dyDescent="0.35">
      <c r="A1020" t="s">
        <v>1984</v>
      </c>
      <c r="B1020" s="1">
        <v>45500</v>
      </c>
      <c r="C1020" t="s">
        <v>103</v>
      </c>
      <c r="D1020" t="s">
        <v>30</v>
      </c>
      <c r="E1020" t="s">
        <v>129</v>
      </c>
      <c r="F1020" t="s">
        <v>19</v>
      </c>
      <c r="G1020" t="s">
        <v>20</v>
      </c>
      <c r="H1020" t="s">
        <v>170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t="s">
        <v>34</v>
      </c>
    </row>
    <row r="1021" spans="1:15" x14ac:dyDescent="0.35">
      <c r="A1021" t="s">
        <v>1985</v>
      </c>
      <c r="B1021" s="1">
        <v>45501</v>
      </c>
      <c r="C1021" t="s">
        <v>1986</v>
      </c>
      <c r="D1021" t="s">
        <v>49</v>
      </c>
      <c r="E1021" t="s">
        <v>169</v>
      </c>
      <c r="F1021" t="s">
        <v>68</v>
      </c>
      <c r="G1021" t="s">
        <v>42</v>
      </c>
      <c r="H1021" t="s">
        <v>64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t="s">
        <v>22</v>
      </c>
    </row>
    <row r="1022" spans="1:15" x14ac:dyDescent="0.35">
      <c r="A1022" t="s">
        <v>1987</v>
      </c>
      <c r="B1022" s="1">
        <v>45501</v>
      </c>
      <c r="C1022" t="s">
        <v>1530</v>
      </c>
      <c r="D1022" t="s">
        <v>30</v>
      </c>
      <c r="E1022" t="s">
        <v>135</v>
      </c>
      <c r="F1022" t="s">
        <v>26</v>
      </c>
      <c r="G1022" t="s">
        <v>42</v>
      </c>
      <c r="H1022" t="s">
        <v>294</v>
      </c>
      <c r="I1022">
        <v>11</v>
      </c>
      <c r="J1022">
        <v>296.08</v>
      </c>
      <c r="K1022">
        <v>5</v>
      </c>
      <c r="L1022">
        <v>3094.04</v>
      </c>
      <c r="M1022">
        <v>23.46</v>
      </c>
      <c r="N1022">
        <v>1116.45</v>
      </c>
      <c r="O1022" t="s">
        <v>56</v>
      </c>
    </row>
    <row r="1023" spans="1:15" x14ac:dyDescent="0.35">
      <c r="A1023" t="s">
        <v>1988</v>
      </c>
      <c r="B1023" s="1">
        <v>45502</v>
      </c>
      <c r="C1023" t="s">
        <v>1989</v>
      </c>
      <c r="D1023" t="s">
        <v>30</v>
      </c>
      <c r="E1023" t="s">
        <v>129</v>
      </c>
      <c r="F1023" t="s">
        <v>19</v>
      </c>
      <c r="G1023" t="s">
        <v>42</v>
      </c>
      <c r="H1023" t="s">
        <v>294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t="s">
        <v>34</v>
      </c>
    </row>
    <row r="1024" spans="1:15" x14ac:dyDescent="0.35">
      <c r="A1024" t="s">
        <v>1990</v>
      </c>
      <c r="B1024" s="1">
        <v>45502</v>
      </c>
      <c r="C1024" t="s">
        <v>1991</v>
      </c>
      <c r="D1024" t="s">
        <v>30</v>
      </c>
      <c r="E1024" t="s">
        <v>18</v>
      </c>
      <c r="F1024" t="s">
        <v>19</v>
      </c>
      <c r="G1024" t="s">
        <v>42</v>
      </c>
      <c r="H1024" t="s">
        <v>118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t="s">
        <v>56</v>
      </c>
    </row>
    <row r="1025" spans="1:15" x14ac:dyDescent="0.35">
      <c r="A1025" t="s">
        <v>1992</v>
      </c>
      <c r="B1025" s="1">
        <v>45505</v>
      </c>
      <c r="C1025" t="s">
        <v>1993</v>
      </c>
      <c r="D1025" t="s">
        <v>30</v>
      </c>
      <c r="E1025" t="s">
        <v>248</v>
      </c>
      <c r="F1025" t="s">
        <v>26</v>
      </c>
      <c r="G1025" t="s">
        <v>20</v>
      </c>
      <c r="H1025" t="s">
        <v>55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t="s">
        <v>34</v>
      </c>
    </row>
    <row r="1026" spans="1:15" x14ac:dyDescent="0.35">
      <c r="A1026" t="s">
        <v>1994</v>
      </c>
      <c r="B1026" s="1">
        <v>45506</v>
      </c>
      <c r="C1026" t="s">
        <v>1995</v>
      </c>
      <c r="D1026" t="s">
        <v>49</v>
      </c>
      <c r="E1026" t="s">
        <v>76</v>
      </c>
      <c r="F1026" t="s">
        <v>26</v>
      </c>
      <c r="G1026" t="s">
        <v>32</v>
      </c>
      <c r="H1026" t="s">
        <v>132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t="s">
        <v>39</v>
      </c>
    </row>
    <row r="1027" spans="1:15" x14ac:dyDescent="0.35">
      <c r="A1027" t="s">
        <v>1996</v>
      </c>
      <c r="B1027" s="1">
        <v>45507</v>
      </c>
      <c r="C1027" t="s">
        <v>1997</v>
      </c>
      <c r="D1027" t="s">
        <v>30</v>
      </c>
      <c r="E1027" t="s">
        <v>76</v>
      </c>
      <c r="F1027" t="s">
        <v>26</v>
      </c>
      <c r="G1027" t="s">
        <v>42</v>
      </c>
      <c r="H1027" t="s">
        <v>64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t="s">
        <v>39</v>
      </c>
    </row>
    <row r="1028" spans="1:15" x14ac:dyDescent="0.35">
      <c r="A1028" t="s">
        <v>1998</v>
      </c>
      <c r="B1028" s="1">
        <v>45507</v>
      </c>
      <c r="C1028" t="s">
        <v>1999</v>
      </c>
      <c r="D1028" t="s">
        <v>30</v>
      </c>
      <c r="E1028" t="s">
        <v>166</v>
      </c>
      <c r="F1028" t="s">
        <v>60</v>
      </c>
      <c r="G1028" t="s">
        <v>69</v>
      </c>
      <c r="H1028" t="s">
        <v>79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t="s">
        <v>39</v>
      </c>
    </row>
    <row r="1029" spans="1:15" x14ac:dyDescent="0.35">
      <c r="A1029" t="s">
        <v>2000</v>
      </c>
      <c r="B1029" s="1">
        <v>45508</v>
      </c>
      <c r="C1029" t="s">
        <v>1186</v>
      </c>
      <c r="D1029" t="s">
        <v>30</v>
      </c>
      <c r="E1029" t="s">
        <v>18</v>
      </c>
      <c r="F1029" t="s">
        <v>19</v>
      </c>
      <c r="G1029" t="s">
        <v>20</v>
      </c>
      <c r="H1029" t="s">
        <v>122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t="s">
        <v>39</v>
      </c>
    </row>
    <row r="1030" spans="1:15" x14ac:dyDescent="0.35">
      <c r="A1030" t="s">
        <v>2001</v>
      </c>
      <c r="B1030" s="1">
        <v>45509</v>
      </c>
      <c r="C1030" t="s">
        <v>2002</v>
      </c>
      <c r="D1030" t="s">
        <v>17</v>
      </c>
      <c r="E1030" t="s">
        <v>121</v>
      </c>
      <c r="F1030" t="s">
        <v>68</v>
      </c>
      <c r="G1030" t="s">
        <v>69</v>
      </c>
      <c r="H1030" t="s">
        <v>305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t="s">
        <v>34</v>
      </c>
    </row>
    <row r="1031" spans="1:15" x14ac:dyDescent="0.35">
      <c r="A1031" t="s">
        <v>2003</v>
      </c>
      <c r="B1031" s="1">
        <v>45509</v>
      </c>
      <c r="C1031" t="s">
        <v>2004</v>
      </c>
      <c r="D1031" t="s">
        <v>17</v>
      </c>
      <c r="E1031" t="s">
        <v>18</v>
      </c>
      <c r="F1031" t="s">
        <v>19</v>
      </c>
      <c r="G1031" t="s">
        <v>32</v>
      </c>
      <c r="H1031" t="s">
        <v>132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t="s">
        <v>39</v>
      </c>
    </row>
    <row r="1032" spans="1:15" x14ac:dyDescent="0.35">
      <c r="A1032" t="s">
        <v>2005</v>
      </c>
      <c r="B1032" s="1">
        <v>45510</v>
      </c>
      <c r="C1032" t="s">
        <v>2006</v>
      </c>
      <c r="D1032" t="s">
        <v>30</v>
      </c>
      <c r="E1032" t="s">
        <v>31</v>
      </c>
      <c r="F1032" t="s">
        <v>19</v>
      </c>
      <c r="G1032" t="s">
        <v>32</v>
      </c>
      <c r="H1032" t="s">
        <v>50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t="s">
        <v>39</v>
      </c>
    </row>
    <row r="1033" spans="1:15" x14ac:dyDescent="0.35">
      <c r="A1033" t="s">
        <v>2007</v>
      </c>
      <c r="B1033" s="1">
        <v>45510</v>
      </c>
      <c r="C1033" t="s">
        <v>2008</v>
      </c>
      <c r="D1033" t="s">
        <v>30</v>
      </c>
      <c r="E1033" t="s">
        <v>85</v>
      </c>
      <c r="F1033" t="s">
        <v>60</v>
      </c>
      <c r="G1033" t="s">
        <v>32</v>
      </c>
      <c r="H1033" t="s">
        <v>110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t="s">
        <v>39</v>
      </c>
    </row>
    <row r="1034" spans="1:15" x14ac:dyDescent="0.35">
      <c r="A1034" t="s">
        <v>2009</v>
      </c>
      <c r="B1034" s="1">
        <v>45510</v>
      </c>
      <c r="C1034" t="s">
        <v>676</v>
      </c>
      <c r="D1034" t="s">
        <v>30</v>
      </c>
      <c r="E1034" t="s">
        <v>92</v>
      </c>
      <c r="F1034" t="s">
        <v>60</v>
      </c>
      <c r="G1034" t="s">
        <v>20</v>
      </c>
      <c r="H1034" t="s">
        <v>170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t="s">
        <v>39</v>
      </c>
    </row>
    <row r="1035" spans="1:15" x14ac:dyDescent="0.35">
      <c r="A1035" t="s">
        <v>2010</v>
      </c>
      <c r="B1035" s="1">
        <v>45511</v>
      </c>
      <c r="C1035" t="s">
        <v>2011</v>
      </c>
      <c r="D1035" t="s">
        <v>49</v>
      </c>
      <c r="E1035" t="s">
        <v>129</v>
      </c>
      <c r="F1035" t="s">
        <v>19</v>
      </c>
      <c r="G1035" t="s">
        <v>42</v>
      </c>
      <c r="H1035" t="s">
        <v>118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t="s">
        <v>34</v>
      </c>
    </row>
    <row r="1036" spans="1:15" x14ac:dyDescent="0.35">
      <c r="A1036" t="s">
        <v>2012</v>
      </c>
      <c r="B1036" s="1">
        <v>45511</v>
      </c>
      <c r="C1036" t="s">
        <v>2013</v>
      </c>
      <c r="D1036" t="s">
        <v>17</v>
      </c>
      <c r="E1036" t="s">
        <v>31</v>
      </c>
      <c r="F1036" t="s">
        <v>19</v>
      </c>
      <c r="G1036" t="s">
        <v>20</v>
      </c>
      <c r="H1036" t="s">
        <v>170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t="s">
        <v>34</v>
      </c>
    </row>
    <row r="1037" spans="1:15" x14ac:dyDescent="0.35">
      <c r="A1037" t="s">
        <v>2014</v>
      </c>
      <c r="B1037" s="1">
        <v>45512</v>
      </c>
      <c r="C1037" t="s">
        <v>2015</v>
      </c>
      <c r="D1037" t="s">
        <v>17</v>
      </c>
      <c r="E1037" t="s">
        <v>129</v>
      </c>
      <c r="F1037" t="s">
        <v>19</v>
      </c>
      <c r="G1037" t="s">
        <v>32</v>
      </c>
      <c r="H1037" t="s">
        <v>132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t="s">
        <v>34</v>
      </c>
    </row>
    <row r="1038" spans="1:15" x14ac:dyDescent="0.35">
      <c r="A1038" t="s">
        <v>2016</v>
      </c>
      <c r="B1038" s="1">
        <v>45512</v>
      </c>
      <c r="C1038" t="s">
        <v>2017</v>
      </c>
      <c r="D1038" t="s">
        <v>30</v>
      </c>
      <c r="E1038" t="s">
        <v>148</v>
      </c>
      <c r="F1038" t="s">
        <v>60</v>
      </c>
      <c r="G1038" t="s">
        <v>69</v>
      </c>
      <c r="H1038" t="s">
        <v>79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t="s">
        <v>39</v>
      </c>
    </row>
    <row r="1039" spans="1:15" x14ac:dyDescent="0.35">
      <c r="A1039" t="s">
        <v>2018</v>
      </c>
      <c r="B1039" s="1">
        <v>45513</v>
      </c>
      <c r="C1039" t="s">
        <v>1938</v>
      </c>
      <c r="D1039" t="s">
        <v>17</v>
      </c>
      <c r="E1039" t="s">
        <v>18</v>
      </c>
      <c r="F1039" t="s">
        <v>19</v>
      </c>
      <c r="G1039" t="s">
        <v>32</v>
      </c>
      <c r="H1039" t="s">
        <v>115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t="s">
        <v>34</v>
      </c>
    </row>
    <row r="1040" spans="1:15" x14ac:dyDescent="0.35">
      <c r="A1040" t="s">
        <v>2019</v>
      </c>
      <c r="B1040" s="1">
        <v>45513</v>
      </c>
      <c r="C1040" t="s">
        <v>1694</v>
      </c>
      <c r="D1040" t="s">
        <v>49</v>
      </c>
      <c r="E1040" t="s">
        <v>37</v>
      </c>
      <c r="F1040" t="s">
        <v>26</v>
      </c>
      <c r="G1040" t="s">
        <v>69</v>
      </c>
      <c r="H1040" t="s">
        <v>70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t="s">
        <v>56</v>
      </c>
    </row>
    <row r="1041" spans="1:15" x14ac:dyDescent="0.35">
      <c r="A1041" t="s">
        <v>2020</v>
      </c>
      <c r="B1041" s="1">
        <v>45514</v>
      </c>
      <c r="C1041" t="s">
        <v>259</v>
      </c>
      <c r="D1041" t="s">
        <v>30</v>
      </c>
      <c r="E1041" t="s">
        <v>248</v>
      </c>
      <c r="F1041" t="s">
        <v>26</v>
      </c>
      <c r="G1041" t="s">
        <v>20</v>
      </c>
      <c r="H1041" t="s">
        <v>106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t="s">
        <v>22</v>
      </c>
    </row>
    <row r="1042" spans="1:15" x14ac:dyDescent="0.35">
      <c r="A1042" t="s">
        <v>2021</v>
      </c>
      <c r="B1042" s="1">
        <v>45514</v>
      </c>
      <c r="C1042" t="s">
        <v>2022</v>
      </c>
      <c r="D1042" t="s">
        <v>49</v>
      </c>
      <c r="E1042" t="s">
        <v>148</v>
      </c>
      <c r="F1042" t="s">
        <v>60</v>
      </c>
      <c r="G1042" t="s">
        <v>42</v>
      </c>
      <c r="H1042" t="s">
        <v>43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t="s">
        <v>22</v>
      </c>
    </row>
    <row r="1043" spans="1:15" x14ac:dyDescent="0.35">
      <c r="A1043" t="s">
        <v>2023</v>
      </c>
      <c r="B1043" s="1">
        <v>45516</v>
      </c>
      <c r="C1043" t="s">
        <v>2024</v>
      </c>
      <c r="D1043" t="s">
        <v>30</v>
      </c>
      <c r="E1043" t="s">
        <v>63</v>
      </c>
      <c r="F1043" t="s">
        <v>54</v>
      </c>
      <c r="G1043" t="s">
        <v>20</v>
      </c>
      <c r="H1043" t="s">
        <v>175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t="s">
        <v>39</v>
      </c>
    </row>
    <row r="1044" spans="1:15" x14ac:dyDescent="0.35">
      <c r="A1044" t="s">
        <v>2025</v>
      </c>
      <c r="B1044" s="1">
        <v>45517</v>
      </c>
      <c r="C1044" t="s">
        <v>2026</v>
      </c>
      <c r="D1044" t="s">
        <v>17</v>
      </c>
      <c r="E1044" t="s">
        <v>166</v>
      </c>
      <c r="F1044" t="s">
        <v>60</v>
      </c>
      <c r="G1044" t="s">
        <v>20</v>
      </c>
      <c r="H1044" t="s">
        <v>21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t="s">
        <v>22</v>
      </c>
    </row>
    <row r="1045" spans="1:15" x14ac:dyDescent="0.35">
      <c r="A1045" t="s">
        <v>2027</v>
      </c>
      <c r="B1045" s="1">
        <v>45517</v>
      </c>
      <c r="C1045" t="s">
        <v>2028</v>
      </c>
      <c r="D1045" t="s">
        <v>30</v>
      </c>
      <c r="E1045" t="s">
        <v>31</v>
      </c>
      <c r="F1045" t="s">
        <v>19</v>
      </c>
      <c r="G1045" t="s">
        <v>20</v>
      </c>
      <c r="H1045" t="s">
        <v>38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t="s">
        <v>39</v>
      </c>
    </row>
    <row r="1046" spans="1:15" x14ac:dyDescent="0.35">
      <c r="A1046" t="s">
        <v>2029</v>
      </c>
      <c r="B1046" s="1">
        <v>45517</v>
      </c>
      <c r="C1046" t="s">
        <v>1505</v>
      </c>
      <c r="D1046" t="s">
        <v>49</v>
      </c>
      <c r="E1046" t="s">
        <v>31</v>
      </c>
      <c r="F1046" t="s">
        <v>19</v>
      </c>
      <c r="G1046" t="s">
        <v>32</v>
      </c>
      <c r="H1046" t="s">
        <v>101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t="s">
        <v>39</v>
      </c>
    </row>
    <row r="1047" spans="1:15" x14ac:dyDescent="0.35">
      <c r="A1047" t="s">
        <v>2030</v>
      </c>
      <c r="B1047" s="1">
        <v>45518</v>
      </c>
      <c r="C1047" t="s">
        <v>2031</v>
      </c>
      <c r="D1047" t="s">
        <v>30</v>
      </c>
      <c r="E1047" t="s">
        <v>129</v>
      </c>
      <c r="F1047" t="s">
        <v>19</v>
      </c>
      <c r="G1047" t="s">
        <v>42</v>
      </c>
      <c r="H1047" t="s">
        <v>89</v>
      </c>
      <c r="I1047">
        <v>4</v>
      </c>
      <c r="J1047">
        <v>347.26</v>
      </c>
      <c r="K1047">
        <v>20</v>
      </c>
      <c r="L1047">
        <v>1111.23</v>
      </c>
      <c r="M1047">
        <v>11</v>
      </c>
      <c r="N1047">
        <v>266.81</v>
      </c>
      <c r="O1047" t="s">
        <v>39</v>
      </c>
    </row>
    <row r="1048" spans="1:15" x14ac:dyDescent="0.35">
      <c r="A1048" t="s">
        <v>2032</v>
      </c>
      <c r="B1048" s="1">
        <v>45518</v>
      </c>
      <c r="C1048" t="s">
        <v>2033</v>
      </c>
      <c r="D1048" t="s">
        <v>49</v>
      </c>
      <c r="E1048" t="s">
        <v>18</v>
      </c>
      <c r="F1048" t="s">
        <v>19</v>
      </c>
      <c r="G1048" t="s">
        <v>42</v>
      </c>
      <c r="H1048" t="s">
        <v>255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t="s">
        <v>56</v>
      </c>
    </row>
    <row r="1049" spans="1:15" x14ac:dyDescent="0.35">
      <c r="A1049" t="s">
        <v>2034</v>
      </c>
      <c r="B1049" s="1">
        <v>45518</v>
      </c>
      <c r="C1049" t="s">
        <v>2035</v>
      </c>
      <c r="D1049" t="s">
        <v>17</v>
      </c>
      <c r="E1049" t="s">
        <v>76</v>
      </c>
      <c r="F1049" t="s">
        <v>26</v>
      </c>
      <c r="G1049" t="s">
        <v>20</v>
      </c>
      <c r="H1049" t="s">
        <v>199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t="s">
        <v>34</v>
      </c>
    </row>
    <row r="1050" spans="1:15" x14ac:dyDescent="0.35">
      <c r="A1050" t="s">
        <v>2036</v>
      </c>
      <c r="B1050" s="1">
        <v>45518</v>
      </c>
      <c r="C1050" t="s">
        <v>2037</v>
      </c>
      <c r="D1050" t="s">
        <v>17</v>
      </c>
      <c r="E1050" t="s">
        <v>31</v>
      </c>
      <c r="F1050" t="s">
        <v>19</v>
      </c>
      <c r="G1050" t="s">
        <v>32</v>
      </c>
      <c r="H1050" t="s">
        <v>149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t="s">
        <v>39</v>
      </c>
    </row>
    <row r="1051" spans="1:15" x14ac:dyDescent="0.35">
      <c r="A1051" t="s">
        <v>2038</v>
      </c>
      <c r="B1051" s="1">
        <v>45519</v>
      </c>
      <c r="C1051" t="s">
        <v>2039</v>
      </c>
      <c r="D1051" t="s">
        <v>30</v>
      </c>
      <c r="E1051" t="s">
        <v>148</v>
      </c>
      <c r="F1051" t="s">
        <v>60</v>
      </c>
      <c r="G1051" t="s">
        <v>32</v>
      </c>
      <c r="H1051" t="s">
        <v>149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t="s">
        <v>22</v>
      </c>
    </row>
    <row r="1052" spans="1:15" x14ac:dyDescent="0.35">
      <c r="A1052" t="s">
        <v>2040</v>
      </c>
      <c r="B1052" s="1">
        <v>45519</v>
      </c>
      <c r="C1052" t="s">
        <v>2041</v>
      </c>
      <c r="D1052" t="s">
        <v>49</v>
      </c>
      <c r="E1052" t="s">
        <v>18</v>
      </c>
      <c r="F1052" t="s">
        <v>19</v>
      </c>
      <c r="G1052" t="s">
        <v>42</v>
      </c>
      <c r="H1052" t="s">
        <v>43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t="s">
        <v>39</v>
      </c>
    </row>
    <row r="1053" spans="1:15" x14ac:dyDescent="0.35">
      <c r="A1053" t="s">
        <v>2042</v>
      </c>
      <c r="B1053" s="1">
        <v>45520</v>
      </c>
      <c r="C1053" t="s">
        <v>2043</v>
      </c>
      <c r="D1053" t="s">
        <v>49</v>
      </c>
      <c r="E1053" t="s">
        <v>37</v>
      </c>
      <c r="F1053" t="s">
        <v>26</v>
      </c>
      <c r="G1053" t="s">
        <v>32</v>
      </c>
      <c r="H1053" t="s">
        <v>115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t="s">
        <v>34</v>
      </c>
    </row>
    <row r="1054" spans="1:15" x14ac:dyDescent="0.35">
      <c r="A1054" t="s">
        <v>2044</v>
      </c>
      <c r="B1054" s="1">
        <v>45520</v>
      </c>
      <c r="C1054" t="s">
        <v>2045</v>
      </c>
      <c r="D1054" t="s">
        <v>30</v>
      </c>
      <c r="E1054" t="s">
        <v>85</v>
      </c>
      <c r="F1054" t="s">
        <v>60</v>
      </c>
      <c r="G1054" t="s">
        <v>69</v>
      </c>
      <c r="H1054" t="s">
        <v>160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t="s">
        <v>39</v>
      </c>
    </row>
    <row r="1055" spans="1:15" x14ac:dyDescent="0.35">
      <c r="A1055" t="s">
        <v>2046</v>
      </c>
      <c r="B1055" s="1">
        <v>45520</v>
      </c>
      <c r="C1055" t="s">
        <v>2047</v>
      </c>
      <c r="D1055" t="s">
        <v>30</v>
      </c>
      <c r="E1055" t="s">
        <v>148</v>
      </c>
      <c r="F1055" t="s">
        <v>60</v>
      </c>
      <c r="G1055" t="s">
        <v>32</v>
      </c>
      <c r="H1055" t="s">
        <v>73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t="s">
        <v>39</v>
      </c>
    </row>
    <row r="1056" spans="1:15" x14ac:dyDescent="0.35">
      <c r="A1056" t="s">
        <v>2048</v>
      </c>
      <c r="B1056" s="1">
        <v>45520</v>
      </c>
      <c r="C1056" t="s">
        <v>2049</v>
      </c>
      <c r="D1056" t="s">
        <v>30</v>
      </c>
      <c r="E1056" t="s">
        <v>121</v>
      </c>
      <c r="F1056" t="s">
        <v>68</v>
      </c>
      <c r="G1056" t="s">
        <v>69</v>
      </c>
      <c r="H1056" t="s">
        <v>79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t="s">
        <v>34</v>
      </c>
    </row>
    <row r="1057" spans="1:15" x14ac:dyDescent="0.35">
      <c r="A1057" t="s">
        <v>2050</v>
      </c>
      <c r="B1057" s="1">
        <v>45520</v>
      </c>
      <c r="C1057" t="s">
        <v>2051</v>
      </c>
      <c r="D1057" t="s">
        <v>30</v>
      </c>
      <c r="E1057" t="s">
        <v>18</v>
      </c>
      <c r="F1057" t="s">
        <v>19</v>
      </c>
      <c r="G1057" t="s">
        <v>20</v>
      </c>
      <c r="H1057" t="s">
        <v>264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t="s">
        <v>34</v>
      </c>
    </row>
    <row r="1058" spans="1:15" x14ac:dyDescent="0.35">
      <c r="A1058" t="s">
        <v>2052</v>
      </c>
      <c r="B1058" s="1">
        <v>45522</v>
      </c>
      <c r="C1058" t="s">
        <v>2053</v>
      </c>
      <c r="D1058" t="s">
        <v>17</v>
      </c>
      <c r="E1058" t="s">
        <v>135</v>
      </c>
      <c r="F1058" t="s">
        <v>26</v>
      </c>
      <c r="G1058" t="s">
        <v>20</v>
      </c>
      <c r="H1058" t="s">
        <v>199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t="s">
        <v>56</v>
      </c>
    </row>
    <row r="1059" spans="1:15" x14ac:dyDescent="0.35">
      <c r="A1059" t="s">
        <v>2054</v>
      </c>
      <c r="B1059" s="1">
        <v>45522</v>
      </c>
      <c r="C1059" t="s">
        <v>2055</v>
      </c>
      <c r="D1059" t="s">
        <v>30</v>
      </c>
      <c r="E1059" t="s">
        <v>67</v>
      </c>
      <c r="F1059" t="s">
        <v>68</v>
      </c>
      <c r="G1059" t="s">
        <v>20</v>
      </c>
      <c r="H1059" t="s">
        <v>106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t="s">
        <v>34</v>
      </c>
    </row>
    <row r="1060" spans="1:15" x14ac:dyDescent="0.35">
      <c r="A1060" t="s">
        <v>2056</v>
      </c>
      <c r="B1060" s="1">
        <v>45523</v>
      </c>
      <c r="C1060" t="s">
        <v>2057</v>
      </c>
      <c r="D1060" t="s">
        <v>17</v>
      </c>
      <c r="E1060" t="s">
        <v>31</v>
      </c>
      <c r="F1060" t="s">
        <v>19</v>
      </c>
      <c r="G1060" t="s">
        <v>32</v>
      </c>
      <c r="H1060" t="s">
        <v>110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t="s">
        <v>56</v>
      </c>
    </row>
    <row r="1061" spans="1:15" x14ac:dyDescent="0.35">
      <c r="A1061" t="s">
        <v>2058</v>
      </c>
      <c r="B1061" s="1">
        <v>45524</v>
      </c>
      <c r="C1061" t="s">
        <v>2059</v>
      </c>
      <c r="D1061" t="s">
        <v>30</v>
      </c>
      <c r="E1061" t="s">
        <v>31</v>
      </c>
      <c r="F1061" t="s">
        <v>19</v>
      </c>
      <c r="G1061" t="s">
        <v>69</v>
      </c>
      <c r="H1061" t="s">
        <v>70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t="s">
        <v>39</v>
      </c>
    </row>
    <row r="1062" spans="1:15" x14ac:dyDescent="0.35">
      <c r="A1062" t="s">
        <v>2060</v>
      </c>
      <c r="B1062" s="1">
        <v>45524</v>
      </c>
      <c r="C1062" t="s">
        <v>2061</v>
      </c>
      <c r="D1062" t="s">
        <v>17</v>
      </c>
      <c r="E1062" t="s">
        <v>148</v>
      </c>
      <c r="F1062" t="s">
        <v>60</v>
      </c>
      <c r="G1062" t="s">
        <v>32</v>
      </c>
      <c r="H1062" t="s">
        <v>73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t="s">
        <v>39</v>
      </c>
    </row>
    <row r="1063" spans="1:15" x14ac:dyDescent="0.35">
      <c r="A1063" t="s">
        <v>2062</v>
      </c>
      <c r="B1063" s="1">
        <v>45526</v>
      </c>
      <c r="C1063" t="s">
        <v>2063</v>
      </c>
      <c r="D1063" t="s">
        <v>30</v>
      </c>
      <c r="E1063" t="s">
        <v>25</v>
      </c>
      <c r="F1063" t="s">
        <v>26</v>
      </c>
      <c r="G1063" t="s">
        <v>69</v>
      </c>
      <c r="H1063" t="s">
        <v>160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t="s">
        <v>34</v>
      </c>
    </row>
    <row r="1064" spans="1:15" x14ac:dyDescent="0.35">
      <c r="A1064" t="s">
        <v>2064</v>
      </c>
      <c r="B1064" s="1">
        <v>45528</v>
      </c>
      <c r="C1064" t="s">
        <v>2065</v>
      </c>
      <c r="D1064" t="s">
        <v>30</v>
      </c>
      <c r="E1064" t="s">
        <v>121</v>
      </c>
      <c r="F1064" t="s">
        <v>68</v>
      </c>
      <c r="G1064" t="s">
        <v>32</v>
      </c>
      <c r="H1064" t="s">
        <v>33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t="s">
        <v>39</v>
      </c>
    </row>
    <row r="1065" spans="1:15" x14ac:dyDescent="0.35">
      <c r="A1065" t="s">
        <v>2066</v>
      </c>
      <c r="B1065" s="1">
        <v>45529</v>
      </c>
      <c r="C1065" t="s">
        <v>2067</v>
      </c>
      <c r="D1065" t="s">
        <v>17</v>
      </c>
      <c r="E1065" t="s">
        <v>148</v>
      </c>
      <c r="F1065" t="s">
        <v>60</v>
      </c>
      <c r="G1065" t="s">
        <v>32</v>
      </c>
      <c r="H1065" t="s">
        <v>101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t="s">
        <v>39</v>
      </c>
    </row>
    <row r="1066" spans="1:15" x14ac:dyDescent="0.35">
      <c r="A1066" t="s">
        <v>2068</v>
      </c>
      <c r="B1066" s="1">
        <v>45529</v>
      </c>
      <c r="C1066" t="s">
        <v>2069</v>
      </c>
      <c r="D1066" t="s">
        <v>49</v>
      </c>
      <c r="E1066" t="s">
        <v>59</v>
      </c>
      <c r="F1066" t="s">
        <v>60</v>
      </c>
      <c r="G1066" t="s">
        <v>20</v>
      </c>
      <c r="H1066" t="s">
        <v>106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t="s">
        <v>39</v>
      </c>
    </row>
    <row r="1067" spans="1:15" x14ac:dyDescent="0.35">
      <c r="A1067" t="s">
        <v>2070</v>
      </c>
      <c r="B1067" s="1">
        <v>45529</v>
      </c>
      <c r="C1067" t="s">
        <v>2071</v>
      </c>
      <c r="D1067" t="s">
        <v>17</v>
      </c>
      <c r="E1067" t="s">
        <v>129</v>
      </c>
      <c r="F1067" t="s">
        <v>19</v>
      </c>
      <c r="G1067" t="s">
        <v>20</v>
      </c>
      <c r="H1067" t="s">
        <v>27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t="s">
        <v>34</v>
      </c>
    </row>
    <row r="1068" spans="1:15" x14ac:dyDescent="0.35">
      <c r="A1068" t="s">
        <v>2072</v>
      </c>
      <c r="B1068" s="1">
        <v>45530</v>
      </c>
      <c r="C1068" t="s">
        <v>813</v>
      </c>
      <c r="D1068" t="s">
        <v>30</v>
      </c>
      <c r="E1068" t="s">
        <v>85</v>
      </c>
      <c r="F1068" t="s">
        <v>60</v>
      </c>
      <c r="G1068" t="s">
        <v>20</v>
      </c>
      <c r="H1068" t="s">
        <v>122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t="s">
        <v>56</v>
      </c>
    </row>
    <row r="1069" spans="1:15" x14ac:dyDescent="0.35">
      <c r="A1069" t="s">
        <v>2073</v>
      </c>
      <c r="B1069" s="1">
        <v>45530</v>
      </c>
      <c r="C1069" t="s">
        <v>2074</v>
      </c>
      <c r="D1069" t="s">
        <v>17</v>
      </c>
      <c r="E1069" t="s">
        <v>76</v>
      </c>
      <c r="F1069" t="s">
        <v>26</v>
      </c>
      <c r="G1069" t="s">
        <v>69</v>
      </c>
      <c r="H1069" t="s">
        <v>196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t="s">
        <v>34</v>
      </c>
    </row>
    <row r="1070" spans="1:15" x14ac:dyDescent="0.35">
      <c r="A1070" t="s">
        <v>2075</v>
      </c>
      <c r="B1070" s="1">
        <v>45530</v>
      </c>
      <c r="C1070" t="s">
        <v>2076</v>
      </c>
      <c r="D1070" t="s">
        <v>17</v>
      </c>
      <c r="E1070" t="s">
        <v>18</v>
      </c>
      <c r="F1070" t="s">
        <v>19</v>
      </c>
      <c r="G1070" t="s">
        <v>69</v>
      </c>
      <c r="H1070" t="s">
        <v>305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t="s">
        <v>34</v>
      </c>
    </row>
    <row r="1071" spans="1:15" x14ac:dyDescent="0.35">
      <c r="A1071" t="s">
        <v>2077</v>
      </c>
      <c r="B1071" s="1">
        <v>45532</v>
      </c>
      <c r="C1071" t="s">
        <v>1330</v>
      </c>
      <c r="D1071" t="s">
        <v>30</v>
      </c>
      <c r="E1071" t="s">
        <v>18</v>
      </c>
      <c r="F1071" t="s">
        <v>19</v>
      </c>
      <c r="G1071" t="s">
        <v>69</v>
      </c>
      <c r="H1071" t="s">
        <v>163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t="s">
        <v>39</v>
      </c>
    </row>
    <row r="1072" spans="1:15" x14ac:dyDescent="0.35">
      <c r="A1072" t="s">
        <v>2078</v>
      </c>
      <c r="B1072" s="1">
        <v>45532</v>
      </c>
      <c r="C1072" t="s">
        <v>124</v>
      </c>
      <c r="D1072" t="s">
        <v>30</v>
      </c>
      <c r="E1072" t="s">
        <v>148</v>
      </c>
      <c r="F1072" t="s">
        <v>60</v>
      </c>
      <c r="G1072" t="s">
        <v>42</v>
      </c>
      <c r="H1072" t="s">
        <v>118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t="s">
        <v>56</v>
      </c>
    </row>
    <row r="1073" spans="1:15" x14ac:dyDescent="0.35">
      <c r="A1073" t="s">
        <v>2079</v>
      </c>
      <c r="B1073" s="1">
        <v>45532</v>
      </c>
      <c r="C1073" t="s">
        <v>2080</v>
      </c>
      <c r="D1073" t="s">
        <v>30</v>
      </c>
      <c r="E1073" t="s">
        <v>18</v>
      </c>
      <c r="F1073" t="s">
        <v>19</v>
      </c>
      <c r="G1073" t="s">
        <v>20</v>
      </c>
      <c r="H1073" t="s">
        <v>106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t="s">
        <v>39</v>
      </c>
    </row>
    <row r="1074" spans="1:15" x14ac:dyDescent="0.35">
      <c r="A1074" t="s">
        <v>2081</v>
      </c>
      <c r="B1074" s="1">
        <v>45533</v>
      </c>
      <c r="C1074" t="s">
        <v>2082</v>
      </c>
      <c r="D1074" t="s">
        <v>30</v>
      </c>
      <c r="E1074" t="s">
        <v>31</v>
      </c>
      <c r="F1074" t="s">
        <v>19</v>
      </c>
      <c r="G1074" t="s">
        <v>42</v>
      </c>
      <c r="H1074" t="s">
        <v>43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t="s">
        <v>39</v>
      </c>
    </row>
    <row r="1075" spans="1:15" x14ac:dyDescent="0.35">
      <c r="A1075" t="s">
        <v>2083</v>
      </c>
      <c r="B1075" s="1">
        <v>45533</v>
      </c>
      <c r="C1075" t="s">
        <v>2084</v>
      </c>
      <c r="D1075" t="s">
        <v>30</v>
      </c>
      <c r="E1075" t="s">
        <v>59</v>
      </c>
      <c r="F1075" t="s">
        <v>60</v>
      </c>
      <c r="G1075" t="s">
        <v>32</v>
      </c>
      <c r="H1075" t="s">
        <v>132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t="s">
        <v>56</v>
      </c>
    </row>
    <row r="1076" spans="1:15" x14ac:dyDescent="0.35">
      <c r="A1076" t="s">
        <v>2085</v>
      </c>
      <c r="B1076" s="1">
        <v>45534</v>
      </c>
      <c r="C1076" t="s">
        <v>2086</v>
      </c>
      <c r="D1076" t="s">
        <v>30</v>
      </c>
      <c r="E1076" t="s">
        <v>129</v>
      </c>
      <c r="F1076" t="s">
        <v>19</v>
      </c>
      <c r="G1076" t="s">
        <v>69</v>
      </c>
      <c r="H1076" t="s">
        <v>139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t="s">
        <v>34</v>
      </c>
    </row>
    <row r="1077" spans="1:15" x14ac:dyDescent="0.35">
      <c r="A1077" t="s">
        <v>2087</v>
      </c>
      <c r="B1077" s="1">
        <v>45535</v>
      </c>
      <c r="C1077" t="s">
        <v>2088</v>
      </c>
      <c r="D1077" t="s">
        <v>17</v>
      </c>
      <c r="E1077" t="s">
        <v>37</v>
      </c>
      <c r="F1077" t="s">
        <v>26</v>
      </c>
      <c r="G1077" t="s">
        <v>69</v>
      </c>
      <c r="H1077" t="s">
        <v>305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t="s">
        <v>22</v>
      </c>
    </row>
    <row r="1078" spans="1:15" x14ac:dyDescent="0.35">
      <c r="A1078" t="s">
        <v>2089</v>
      </c>
      <c r="B1078" s="1">
        <v>45536</v>
      </c>
      <c r="C1078" t="s">
        <v>2090</v>
      </c>
      <c r="D1078" t="s">
        <v>30</v>
      </c>
      <c r="E1078" t="s">
        <v>166</v>
      </c>
      <c r="F1078" t="s">
        <v>60</v>
      </c>
      <c r="G1078" t="s">
        <v>32</v>
      </c>
      <c r="H1078" t="s">
        <v>82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t="s">
        <v>34</v>
      </c>
    </row>
    <row r="1079" spans="1:15" x14ac:dyDescent="0.35">
      <c r="A1079" t="s">
        <v>2091</v>
      </c>
      <c r="B1079" s="1">
        <v>45538</v>
      </c>
      <c r="C1079" t="s">
        <v>2092</v>
      </c>
      <c r="D1079" t="s">
        <v>30</v>
      </c>
      <c r="E1079" t="s">
        <v>31</v>
      </c>
      <c r="F1079" t="s">
        <v>19</v>
      </c>
      <c r="G1079" t="s">
        <v>42</v>
      </c>
      <c r="H1079" t="s">
        <v>43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t="s">
        <v>39</v>
      </c>
    </row>
    <row r="1080" spans="1:15" x14ac:dyDescent="0.35">
      <c r="A1080" t="s">
        <v>2093</v>
      </c>
      <c r="B1080" s="1">
        <v>45539</v>
      </c>
      <c r="C1080" t="s">
        <v>997</v>
      </c>
      <c r="D1080" t="s">
        <v>49</v>
      </c>
      <c r="E1080" t="s">
        <v>37</v>
      </c>
      <c r="F1080" t="s">
        <v>26</v>
      </c>
      <c r="G1080" t="s">
        <v>32</v>
      </c>
      <c r="H1080" t="s">
        <v>82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t="s">
        <v>56</v>
      </c>
    </row>
    <row r="1081" spans="1:15" x14ac:dyDescent="0.35">
      <c r="A1081" t="s">
        <v>2094</v>
      </c>
      <c r="B1081" s="1">
        <v>45539</v>
      </c>
      <c r="C1081" t="s">
        <v>2095</v>
      </c>
      <c r="D1081" t="s">
        <v>30</v>
      </c>
      <c r="E1081" t="s">
        <v>63</v>
      </c>
      <c r="F1081" t="s">
        <v>54</v>
      </c>
      <c r="G1081" t="s">
        <v>20</v>
      </c>
      <c r="H1081" t="s">
        <v>175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t="s">
        <v>39</v>
      </c>
    </row>
    <row r="1082" spans="1:15" x14ac:dyDescent="0.35">
      <c r="A1082" t="s">
        <v>2096</v>
      </c>
      <c r="B1082" s="1">
        <v>45540</v>
      </c>
      <c r="C1082" t="s">
        <v>2097</v>
      </c>
      <c r="D1082" t="s">
        <v>30</v>
      </c>
      <c r="E1082" t="s">
        <v>31</v>
      </c>
      <c r="F1082" t="s">
        <v>19</v>
      </c>
      <c r="G1082" t="s">
        <v>20</v>
      </c>
      <c r="H1082" t="s">
        <v>199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t="s">
        <v>39</v>
      </c>
    </row>
    <row r="1083" spans="1:15" x14ac:dyDescent="0.35">
      <c r="A1083" t="s">
        <v>2098</v>
      </c>
      <c r="B1083" s="1">
        <v>45540</v>
      </c>
      <c r="C1083" t="s">
        <v>2099</v>
      </c>
      <c r="D1083" t="s">
        <v>30</v>
      </c>
      <c r="E1083" t="s">
        <v>248</v>
      </c>
      <c r="F1083" t="s">
        <v>26</v>
      </c>
      <c r="G1083" t="s">
        <v>69</v>
      </c>
      <c r="H1083" t="s">
        <v>196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t="s">
        <v>34</v>
      </c>
    </row>
    <row r="1084" spans="1:15" x14ac:dyDescent="0.35">
      <c r="A1084" t="s">
        <v>2100</v>
      </c>
      <c r="B1084" s="1">
        <v>45540</v>
      </c>
      <c r="C1084" t="s">
        <v>2101</v>
      </c>
      <c r="D1084" t="s">
        <v>30</v>
      </c>
      <c r="E1084" t="s">
        <v>18</v>
      </c>
      <c r="F1084" t="s">
        <v>19</v>
      </c>
      <c r="G1084" t="s">
        <v>20</v>
      </c>
      <c r="H1084" t="s">
        <v>264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t="s">
        <v>56</v>
      </c>
    </row>
    <row r="1085" spans="1:15" x14ac:dyDescent="0.35">
      <c r="A1085" t="s">
        <v>2102</v>
      </c>
      <c r="B1085" s="1">
        <v>45541</v>
      </c>
      <c r="C1085" t="s">
        <v>2103</v>
      </c>
      <c r="D1085" t="s">
        <v>17</v>
      </c>
      <c r="E1085" t="s">
        <v>169</v>
      </c>
      <c r="F1085" t="s">
        <v>68</v>
      </c>
      <c r="G1085" t="s">
        <v>32</v>
      </c>
      <c r="H1085" t="s">
        <v>149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t="s">
        <v>34</v>
      </c>
    </row>
    <row r="1086" spans="1:15" x14ac:dyDescent="0.35">
      <c r="A1086" t="s">
        <v>2104</v>
      </c>
      <c r="B1086" s="1">
        <v>45541</v>
      </c>
      <c r="C1086" t="s">
        <v>2105</v>
      </c>
      <c r="D1086" t="s">
        <v>30</v>
      </c>
      <c r="E1086" t="s">
        <v>135</v>
      </c>
      <c r="F1086" t="s">
        <v>26</v>
      </c>
      <c r="G1086" t="s">
        <v>69</v>
      </c>
      <c r="H1086" t="s">
        <v>139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t="s">
        <v>39</v>
      </c>
    </row>
    <row r="1087" spans="1:15" x14ac:dyDescent="0.35">
      <c r="A1087" t="s">
        <v>2106</v>
      </c>
      <c r="B1087" s="1">
        <v>45541</v>
      </c>
      <c r="C1087" t="s">
        <v>2107</v>
      </c>
      <c r="D1087" t="s">
        <v>49</v>
      </c>
      <c r="E1087" t="s">
        <v>18</v>
      </c>
      <c r="F1087" t="s">
        <v>19</v>
      </c>
      <c r="G1087" t="s">
        <v>32</v>
      </c>
      <c r="H1087" t="s">
        <v>115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t="s">
        <v>39</v>
      </c>
    </row>
    <row r="1088" spans="1:15" x14ac:dyDescent="0.35">
      <c r="A1088" t="s">
        <v>2108</v>
      </c>
      <c r="B1088" s="1">
        <v>45541</v>
      </c>
      <c r="C1088" t="s">
        <v>2109</v>
      </c>
      <c r="D1088" t="s">
        <v>30</v>
      </c>
      <c r="E1088" t="s">
        <v>109</v>
      </c>
      <c r="F1088" t="s">
        <v>54</v>
      </c>
      <c r="G1088" t="s">
        <v>20</v>
      </c>
      <c r="H1088" t="s">
        <v>55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t="s">
        <v>56</v>
      </c>
    </row>
    <row r="1089" spans="1:15" x14ac:dyDescent="0.35">
      <c r="A1089" t="s">
        <v>2110</v>
      </c>
      <c r="B1089" s="1">
        <v>45541</v>
      </c>
      <c r="C1089" t="s">
        <v>2111</v>
      </c>
      <c r="D1089" t="s">
        <v>30</v>
      </c>
      <c r="E1089" t="s">
        <v>31</v>
      </c>
      <c r="F1089" t="s">
        <v>19</v>
      </c>
      <c r="G1089" t="s">
        <v>42</v>
      </c>
      <c r="H1089" t="s">
        <v>93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t="s">
        <v>56</v>
      </c>
    </row>
    <row r="1090" spans="1:15" x14ac:dyDescent="0.35">
      <c r="A1090" t="s">
        <v>2112</v>
      </c>
      <c r="B1090" s="1">
        <v>45542</v>
      </c>
      <c r="C1090" t="s">
        <v>2113</v>
      </c>
      <c r="D1090" t="s">
        <v>30</v>
      </c>
      <c r="E1090" t="s">
        <v>129</v>
      </c>
      <c r="F1090" t="s">
        <v>19</v>
      </c>
      <c r="G1090" t="s">
        <v>20</v>
      </c>
      <c r="H1090" t="s">
        <v>170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t="s">
        <v>39</v>
      </c>
    </row>
    <row r="1091" spans="1:15" x14ac:dyDescent="0.35">
      <c r="A1091" t="s">
        <v>2114</v>
      </c>
      <c r="B1091" s="1">
        <v>45542</v>
      </c>
      <c r="C1091" t="s">
        <v>2115</v>
      </c>
      <c r="D1091" t="s">
        <v>49</v>
      </c>
      <c r="E1091" t="s">
        <v>169</v>
      </c>
      <c r="F1091" t="s">
        <v>68</v>
      </c>
      <c r="G1091" t="s">
        <v>69</v>
      </c>
      <c r="H1091" t="s">
        <v>139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t="s">
        <v>22</v>
      </c>
    </row>
    <row r="1092" spans="1:15" x14ac:dyDescent="0.35">
      <c r="A1092" t="s">
        <v>2116</v>
      </c>
      <c r="B1092" s="1">
        <v>45544</v>
      </c>
      <c r="C1092" t="s">
        <v>2117</v>
      </c>
      <c r="D1092" t="s">
        <v>30</v>
      </c>
      <c r="E1092" t="s">
        <v>18</v>
      </c>
      <c r="F1092" t="s">
        <v>19</v>
      </c>
      <c r="G1092" t="s">
        <v>32</v>
      </c>
      <c r="H1092" t="s">
        <v>149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t="s">
        <v>34</v>
      </c>
    </row>
    <row r="1093" spans="1:15" x14ac:dyDescent="0.35">
      <c r="A1093" t="s">
        <v>2118</v>
      </c>
      <c r="B1093" s="1">
        <v>45545</v>
      </c>
      <c r="C1093" t="s">
        <v>2119</v>
      </c>
      <c r="D1093" t="s">
        <v>49</v>
      </c>
      <c r="E1093" t="s">
        <v>67</v>
      </c>
      <c r="F1093" t="s">
        <v>68</v>
      </c>
      <c r="G1093" t="s">
        <v>20</v>
      </c>
      <c r="H1093" t="s">
        <v>122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t="s">
        <v>39</v>
      </c>
    </row>
    <row r="1094" spans="1:15" x14ac:dyDescent="0.35">
      <c r="A1094" t="s">
        <v>2120</v>
      </c>
      <c r="B1094" s="1">
        <v>45545</v>
      </c>
      <c r="C1094" t="s">
        <v>1100</v>
      </c>
      <c r="D1094" t="s">
        <v>30</v>
      </c>
      <c r="E1094" t="s">
        <v>85</v>
      </c>
      <c r="F1094" t="s">
        <v>60</v>
      </c>
      <c r="G1094" t="s">
        <v>69</v>
      </c>
      <c r="H1094" t="s">
        <v>139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t="s">
        <v>34</v>
      </c>
    </row>
    <row r="1095" spans="1:15" x14ac:dyDescent="0.35">
      <c r="A1095" t="s">
        <v>2121</v>
      </c>
      <c r="B1095" s="1">
        <v>45545</v>
      </c>
      <c r="C1095" t="s">
        <v>2122</v>
      </c>
      <c r="D1095" t="s">
        <v>30</v>
      </c>
      <c r="E1095" t="s">
        <v>76</v>
      </c>
      <c r="F1095" t="s">
        <v>26</v>
      </c>
      <c r="G1095" t="s">
        <v>20</v>
      </c>
      <c r="H1095" t="s">
        <v>27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t="s">
        <v>39</v>
      </c>
    </row>
    <row r="1096" spans="1:15" x14ac:dyDescent="0.35">
      <c r="A1096" t="s">
        <v>2123</v>
      </c>
      <c r="B1096" s="1">
        <v>45545</v>
      </c>
      <c r="C1096" t="s">
        <v>899</v>
      </c>
      <c r="D1096" t="s">
        <v>17</v>
      </c>
      <c r="E1096" t="s">
        <v>166</v>
      </c>
      <c r="F1096" t="s">
        <v>60</v>
      </c>
      <c r="G1096" t="s">
        <v>42</v>
      </c>
      <c r="H1096" t="s">
        <v>93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t="s">
        <v>34</v>
      </c>
    </row>
    <row r="1097" spans="1:15" x14ac:dyDescent="0.35">
      <c r="A1097" t="s">
        <v>2124</v>
      </c>
      <c r="B1097" s="1">
        <v>45546</v>
      </c>
      <c r="C1097" t="s">
        <v>1162</v>
      </c>
      <c r="D1097" t="s">
        <v>30</v>
      </c>
      <c r="E1097" t="s">
        <v>169</v>
      </c>
      <c r="F1097" t="s">
        <v>68</v>
      </c>
      <c r="G1097" t="s">
        <v>32</v>
      </c>
      <c r="H1097" t="s">
        <v>348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t="s">
        <v>34</v>
      </c>
    </row>
    <row r="1098" spans="1:15" x14ac:dyDescent="0.35">
      <c r="A1098" t="s">
        <v>2125</v>
      </c>
      <c r="B1098" s="1">
        <v>45546</v>
      </c>
      <c r="C1098" t="s">
        <v>2126</v>
      </c>
      <c r="D1098" t="s">
        <v>49</v>
      </c>
      <c r="E1098" t="s">
        <v>76</v>
      </c>
      <c r="F1098" t="s">
        <v>26</v>
      </c>
      <c r="G1098" t="s">
        <v>32</v>
      </c>
      <c r="H1098" t="s">
        <v>115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t="s">
        <v>39</v>
      </c>
    </row>
    <row r="1099" spans="1:15" x14ac:dyDescent="0.35">
      <c r="A1099" t="s">
        <v>2127</v>
      </c>
      <c r="B1099" s="1">
        <v>45547</v>
      </c>
      <c r="C1099" t="s">
        <v>2128</v>
      </c>
      <c r="D1099" t="s">
        <v>49</v>
      </c>
      <c r="E1099" t="s">
        <v>129</v>
      </c>
      <c r="F1099" t="s">
        <v>19</v>
      </c>
      <c r="G1099" t="s">
        <v>69</v>
      </c>
      <c r="H1099" t="s">
        <v>196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t="s">
        <v>34</v>
      </c>
    </row>
    <row r="1100" spans="1:15" x14ac:dyDescent="0.35">
      <c r="A1100" t="s">
        <v>2129</v>
      </c>
      <c r="B1100" s="1">
        <v>45548</v>
      </c>
      <c r="C1100" t="s">
        <v>1207</v>
      </c>
      <c r="D1100" t="s">
        <v>17</v>
      </c>
      <c r="E1100" t="s">
        <v>31</v>
      </c>
      <c r="F1100" t="s">
        <v>19</v>
      </c>
      <c r="G1100" t="s">
        <v>42</v>
      </c>
      <c r="H1100" t="s">
        <v>93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t="s">
        <v>34</v>
      </c>
    </row>
    <row r="1101" spans="1:15" x14ac:dyDescent="0.35">
      <c r="A1101" t="s">
        <v>2130</v>
      </c>
      <c r="B1101" s="1">
        <v>45549</v>
      </c>
      <c r="C1101" t="s">
        <v>2131</v>
      </c>
      <c r="D1101" t="s">
        <v>17</v>
      </c>
      <c r="E1101" t="s">
        <v>76</v>
      </c>
      <c r="F1101" t="s">
        <v>26</v>
      </c>
      <c r="G1101" t="s">
        <v>20</v>
      </c>
      <c r="H1101" t="s">
        <v>27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t="s">
        <v>34</v>
      </c>
    </row>
    <row r="1102" spans="1:15" x14ac:dyDescent="0.35">
      <c r="A1102" t="s">
        <v>2132</v>
      </c>
      <c r="B1102" s="1">
        <v>45549</v>
      </c>
      <c r="C1102" t="s">
        <v>2133</v>
      </c>
      <c r="D1102" t="s">
        <v>30</v>
      </c>
      <c r="E1102" t="s">
        <v>92</v>
      </c>
      <c r="F1102" t="s">
        <v>60</v>
      </c>
      <c r="G1102" t="s">
        <v>32</v>
      </c>
      <c r="H1102" t="s">
        <v>348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t="s">
        <v>34</v>
      </c>
    </row>
    <row r="1103" spans="1:15" x14ac:dyDescent="0.35">
      <c r="A1103" t="s">
        <v>2134</v>
      </c>
      <c r="B1103" s="1">
        <v>45549</v>
      </c>
      <c r="C1103" t="s">
        <v>2135</v>
      </c>
      <c r="D1103" t="s">
        <v>49</v>
      </c>
      <c r="E1103" t="s">
        <v>166</v>
      </c>
      <c r="F1103" t="s">
        <v>60</v>
      </c>
      <c r="G1103" t="s">
        <v>20</v>
      </c>
      <c r="H1103" t="s">
        <v>38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t="s">
        <v>39</v>
      </c>
    </row>
    <row r="1104" spans="1:15" x14ac:dyDescent="0.35">
      <c r="A1104" t="s">
        <v>2136</v>
      </c>
      <c r="B1104" s="1">
        <v>45550</v>
      </c>
      <c r="C1104" t="s">
        <v>2137</v>
      </c>
      <c r="D1104" t="s">
        <v>17</v>
      </c>
      <c r="E1104" t="s">
        <v>135</v>
      </c>
      <c r="F1104" t="s">
        <v>26</v>
      </c>
      <c r="G1104" t="s">
        <v>20</v>
      </c>
      <c r="H1104" t="s">
        <v>106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t="s">
        <v>34</v>
      </c>
    </row>
    <row r="1105" spans="1:15" x14ac:dyDescent="0.35">
      <c r="A1105" t="s">
        <v>2138</v>
      </c>
      <c r="B1105" s="1">
        <v>45550</v>
      </c>
      <c r="C1105" t="s">
        <v>2139</v>
      </c>
      <c r="D1105" t="s">
        <v>49</v>
      </c>
      <c r="E1105" t="s">
        <v>31</v>
      </c>
      <c r="F1105" t="s">
        <v>19</v>
      </c>
      <c r="G1105" t="s">
        <v>69</v>
      </c>
      <c r="H1105" t="s">
        <v>79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t="s">
        <v>34</v>
      </c>
    </row>
    <row r="1106" spans="1:15" x14ac:dyDescent="0.35">
      <c r="A1106" t="s">
        <v>2140</v>
      </c>
      <c r="B1106" s="1">
        <v>45550</v>
      </c>
      <c r="C1106" t="s">
        <v>2141</v>
      </c>
      <c r="D1106" t="s">
        <v>17</v>
      </c>
      <c r="E1106" t="s">
        <v>18</v>
      </c>
      <c r="F1106" t="s">
        <v>19</v>
      </c>
      <c r="G1106" t="s">
        <v>69</v>
      </c>
      <c r="H1106" t="s">
        <v>196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t="s">
        <v>34</v>
      </c>
    </row>
    <row r="1107" spans="1:15" x14ac:dyDescent="0.35">
      <c r="A1107" t="s">
        <v>2142</v>
      </c>
      <c r="B1107" s="1">
        <v>45550</v>
      </c>
      <c r="C1107" t="s">
        <v>2143</v>
      </c>
      <c r="D1107" t="s">
        <v>30</v>
      </c>
      <c r="E1107" t="s">
        <v>138</v>
      </c>
      <c r="F1107" t="s">
        <v>54</v>
      </c>
      <c r="G1107" t="s">
        <v>69</v>
      </c>
      <c r="H1107" t="s">
        <v>305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t="s">
        <v>39</v>
      </c>
    </row>
    <row r="1108" spans="1:15" x14ac:dyDescent="0.35">
      <c r="A1108" t="s">
        <v>2144</v>
      </c>
      <c r="B1108" s="1">
        <v>45550</v>
      </c>
      <c r="C1108" t="s">
        <v>2145</v>
      </c>
      <c r="D1108" t="s">
        <v>30</v>
      </c>
      <c r="E1108" t="s">
        <v>18</v>
      </c>
      <c r="F1108" t="s">
        <v>19</v>
      </c>
      <c r="G1108" t="s">
        <v>20</v>
      </c>
      <c r="H1108" t="s">
        <v>106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t="s">
        <v>56</v>
      </c>
    </row>
    <row r="1109" spans="1:15" x14ac:dyDescent="0.35">
      <c r="A1109" t="s">
        <v>2146</v>
      </c>
      <c r="B1109" s="1">
        <v>45550</v>
      </c>
      <c r="C1109" t="s">
        <v>2147</v>
      </c>
      <c r="D1109" t="s">
        <v>30</v>
      </c>
      <c r="E1109" t="s">
        <v>129</v>
      </c>
      <c r="F1109" t="s">
        <v>19</v>
      </c>
      <c r="G1109" t="s">
        <v>42</v>
      </c>
      <c r="H1109" t="s">
        <v>255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t="s">
        <v>22</v>
      </c>
    </row>
    <row r="1110" spans="1:15" x14ac:dyDescent="0.35">
      <c r="A1110" t="s">
        <v>2148</v>
      </c>
      <c r="B1110" s="1">
        <v>45551</v>
      </c>
      <c r="C1110" t="s">
        <v>2149</v>
      </c>
      <c r="D1110" t="s">
        <v>17</v>
      </c>
      <c r="E1110" t="s">
        <v>129</v>
      </c>
      <c r="F1110" t="s">
        <v>19</v>
      </c>
      <c r="G1110" t="s">
        <v>20</v>
      </c>
      <c r="H1110" t="s">
        <v>264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t="s">
        <v>56</v>
      </c>
    </row>
    <row r="1111" spans="1:15" x14ac:dyDescent="0.35">
      <c r="A1111" t="s">
        <v>2150</v>
      </c>
      <c r="B1111" s="1">
        <v>45551</v>
      </c>
      <c r="C1111" t="s">
        <v>2151</v>
      </c>
      <c r="D1111" t="s">
        <v>30</v>
      </c>
      <c r="E1111" t="s">
        <v>25</v>
      </c>
      <c r="F1111" t="s">
        <v>26</v>
      </c>
      <c r="G1111" t="s">
        <v>32</v>
      </c>
      <c r="H1111" t="s">
        <v>82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t="s">
        <v>34</v>
      </c>
    </row>
    <row r="1112" spans="1:15" x14ac:dyDescent="0.35">
      <c r="A1112" t="s">
        <v>2152</v>
      </c>
      <c r="B1112" s="1">
        <v>45551</v>
      </c>
      <c r="C1112" t="s">
        <v>2153</v>
      </c>
      <c r="D1112" t="s">
        <v>30</v>
      </c>
      <c r="E1112" t="s">
        <v>169</v>
      </c>
      <c r="F1112" t="s">
        <v>68</v>
      </c>
      <c r="G1112" t="s">
        <v>42</v>
      </c>
      <c r="H1112" t="s">
        <v>118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t="s">
        <v>39</v>
      </c>
    </row>
    <row r="1113" spans="1:15" x14ac:dyDescent="0.35">
      <c r="A1113" t="s">
        <v>2154</v>
      </c>
      <c r="B1113" s="1">
        <v>45551</v>
      </c>
      <c r="C1113" t="s">
        <v>2155</v>
      </c>
      <c r="D1113" t="s">
        <v>30</v>
      </c>
      <c r="E1113" t="s">
        <v>31</v>
      </c>
      <c r="F1113" t="s">
        <v>19</v>
      </c>
      <c r="G1113" t="s">
        <v>69</v>
      </c>
      <c r="H1113" t="s">
        <v>163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t="s">
        <v>34</v>
      </c>
    </row>
    <row r="1114" spans="1:15" x14ac:dyDescent="0.35">
      <c r="A1114" t="s">
        <v>2156</v>
      </c>
      <c r="B1114" s="1">
        <v>45551</v>
      </c>
      <c r="C1114" t="s">
        <v>2157</v>
      </c>
      <c r="D1114" t="s">
        <v>17</v>
      </c>
      <c r="E1114" t="s">
        <v>129</v>
      </c>
      <c r="F1114" t="s">
        <v>19</v>
      </c>
      <c r="G1114" t="s">
        <v>32</v>
      </c>
      <c r="H1114" t="s">
        <v>82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t="s">
        <v>22</v>
      </c>
    </row>
    <row r="1115" spans="1:15" x14ac:dyDescent="0.35">
      <c r="A1115" t="s">
        <v>2158</v>
      </c>
      <c r="B1115" s="1">
        <v>45551</v>
      </c>
      <c r="C1115" t="s">
        <v>1298</v>
      </c>
      <c r="D1115" t="s">
        <v>17</v>
      </c>
      <c r="E1115" t="s">
        <v>138</v>
      </c>
      <c r="F1115" t="s">
        <v>54</v>
      </c>
      <c r="G1115" t="s">
        <v>42</v>
      </c>
      <c r="H1115" t="s">
        <v>64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t="s">
        <v>34</v>
      </c>
    </row>
    <row r="1116" spans="1:15" x14ac:dyDescent="0.35">
      <c r="A1116" t="s">
        <v>2159</v>
      </c>
      <c r="B1116" s="1">
        <v>45552</v>
      </c>
      <c r="C1116" t="s">
        <v>2160</v>
      </c>
      <c r="D1116" t="s">
        <v>49</v>
      </c>
      <c r="E1116" t="s">
        <v>31</v>
      </c>
      <c r="F1116" t="s">
        <v>19</v>
      </c>
      <c r="G1116" t="s">
        <v>32</v>
      </c>
      <c r="H1116" t="s">
        <v>73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t="s">
        <v>39</v>
      </c>
    </row>
    <row r="1117" spans="1:15" x14ac:dyDescent="0.35">
      <c r="A1117" t="s">
        <v>2161</v>
      </c>
      <c r="B1117" s="1">
        <v>45553</v>
      </c>
      <c r="C1117" t="s">
        <v>2162</v>
      </c>
      <c r="D1117" t="s">
        <v>30</v>
      </c>
      <c r="E1117" t="s">
        <v>37</v>
      </c>
      <c r="F1117" t="s">
        <v>26</v>
      </c>
      <c r="G1117" t="s">
        <v>42</v>
      </c>
      <c r="H1117" t="s">
        <v>234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t="s">
        <v>22</v>
      </c>
    </row>
    <row r="1118" spans="1:15" x14ac:dyDescent="0.35">
      <c r="A1118" t="s">
        <v>2163</v>
      </c>
      <c r="B1118" s="1">
        <v>45554</v>
      </c>
      <c r="C1118" t="s">
        <v>2164</v>
      </c>
      <c r="D1118" t="s">
        <v>30</v>
      </c>
      <c r="E1118" t="s">
        <v>135</v>
      </c>
      <c r="F1118" t="s">
        <v>26</v>
      </c>
      <c r="G1118" t="s">
        <v>32</v>
      </c>
      <c r="H1118" t="s">
        <v>101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t="s">
        <v>34</v>
      </c>
    </row>
    <row r="1119" spans="1:15" x14ac:dyDescent="0.35">
      <c r="A1119" t="s">
        <v>2165</v>
      </c>
      <c r="B1119" s="1">
        <v>45554</v>
      </c>
      <c r="C1119" t="s">
        <v>2166</v>
      </c>
      <c r="D1119" t="s">
        <v>49</v>
      </c>
      <c r="E1119" t="s">
        <v>25</v>
      </c>
      <c r="F1119" t="s">
        <v>26</v>
      </c>
      <c r="G1119" t="s">
        <v>32</v>
      </c>
      <c r="H1119" t="s">
        <v>110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t="s">
        <v>34</v>
      </c>
    </row>
    <row r="1120" spans="1:15" x14ac:dyDescent="0.35">
      <c r="A1120" t="s">
        <v>2167</v>
      </c>
      <c r="B1120" s="1">
        <v>45555</v>
      </c>
      <c r="C1120" t="s">
        <v>1326</v>
      </c>
      <c r="D1120" t="s">
        <v>30</v>
      </c>
      <c r="E1120" t="s">
        <v>166</v>
      </c>
      <c r="F1120" t="s">
        <v>60</v>
      </c>
      <c r="G1120" t="s">
        <v>32</v>
      </c>
      <c r="H1120" t="s">
        <v>33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t="s">
        <v>39</v>
      </c>
    </row>
    <row r="1121" spans="1:15" x14ac:dyDescent="0.35">
      <c r="A1121" t="s">
        <v>2168</v>
      </c>
      <c r="B1121" s="1">
        <v>45556</v>
      </c>
      <c r="C1121" t="s">
        <v>1341</v>
      </c>
      <c r="D1121" t="s">
        <v>30</v>
      </c>
      <c r="E1121" t="s">
        <v>129</v>
      </c>
      <c r="F1121" t="s">
        <v>19</v>
      </c>
      <c r="G1121" t="s">
        <v>20</v>
      </c>
      <c r="H1121" t="s">
        <v>27</v>
      </c>
      <c r="I1121">
        <v>9</v>
      </c>
      <c r="J1121">
        <v>164.14</v>
      </c>
      <c r="K1121">
        <v>0</v>
      </c>
      <c r="L1121">
        <v>1477.26</v>
      </c>
      <c r="M1121">
        <v>18.25</v>
      </c>
      <c r="N1121">
        <v>646.52</v>
      </c>
      <c r="O1121" t="s">
        <v>34</v>
      </c>
    </row>
    <row r="1122" spans="1:15" x14ac:dyDescent="0.35">
      <c r="A1122" t="s">
        <v>2169</v>
      </c>
      <c r="B1122" s="1">
        <v>45556</v>
      </c>
      <c r="C1122" t="s">
        <v>2170</v>
      </c>
      <c r="D1122" t="s">
        <v>17</v>
      </c>
      <c r="E1122" t="s">
        <v>59</v>
      </c>
      <c r="F1122" t="s">
        <v>60</v>
      </c>
      <c r="G1122" t="s">
        <v>42</v>
      </c>
      <c r="H1122" t="s">
        <v>255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t="s">
        <v>34</v>
      </c>
    </row>
    <row r="1123" spans="1:15" x14ac:dyDescent="0.35">
      <c r="A1123" t="s">
        <v>2171</v>
      </c>
      <c r="B1123" s="1">
        <v>45557</v>
      </c>
      <c r="C1123" t="s">
        <v>233</v>
      </c>
      <c r="D1123" t="s">
        <v>17</v>
      </c>
      <c r="E1123" t="s">
        <v>67</v>
      </c>
      <c r="F1123" t="s">
        <v>68</v>
      </c>
      <c r="G1123" t="s">
        <v>32</v>
      </c>
      <c r="H1123" t="s">
        <v>50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t="s">
        <v>39</v>
      </c>
    </row>
    <row r="1124" spans="1:15" x14ac:dyDescent="0.35">
      <c r="A1124" t="s">
        <v>2172</v>
      </c>
      <c r="B1124" s="1">
        <v>45557</v>
      </c>
      <c r="C1124" t="s">
        <v>2173</v>
      </c>
      <c r="D1124" t="s">
        <v>49</v>
      </c>
      <c r="E1124" t="s">
        <v>92</v>
      </c>
      <c r="F1124" t="s">
        <v>60</v>
      </c>
      <c r="G1124" t="s">
        <v>32</v>
      </c>
      <c r="H1124" t="s">
        <v>149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t="s">
        <v>34</v>
      </c>
    </row>
    <row r="1125" spans="1:15" x14ac:dyDescent="0.35">
      <c r="A1125" t="s">
        <v>2174</v>
      </c>
      <c r="B1125" s="1">
        <v>45558</v>
      </c>
      <c r="C1125" t="s">
        <v>2175</v>
      </c>
      <c r="D1125" t="s">
        <v>17</v>
      </c>
      <c r="E1125" t="s">
        <v>67</v>
      </c>
      <c r="F1125" t="s">
        <v>68</v>
      </c>
      <c r="G1125" t="s">
        <v>20</v>
      </c>
      <c r="H1125" t="s">
        <v>106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t="s">
        <v>39</v>
      </c>
    </row>
    <row r="1126" spans="1:15" x14ac:dyDescent="0.35">
      <c r="A1126" t="s">
        <v>2176</v>
      </c>
      <c r="B1126" s="1">
        <v>45559</v>
      </c>
      <c r="C1126" t="s">
        <v>2041</v>
      </c>
      <c r="D1126" t="s">
        <v>30</v>
      </c>
      <c r="E1126" t="s">
        <v>85</v>
      </c>
      <c r="F1126" t="s">
        <v>60</v>
      </c>
      <c r="G1126" t="s">
        <v>32</v>
      </c>
      <c r="H1126" t="s">
        <v>50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t="s">
        <v>56</v>
      </c>
    </row>
    <row r="1127" spans="1:15" x14ac:dyDescent="0.35">
      <c r="A1127" t="s">
        <v>2177</v>
      </c>
      <c r="B1127" s="1">
        <v>45559</v>
      </c>
      <c r="C1127" t="s">
        <v>1738</v>
      </c>
      <c r="D1127" t="s">
        <v>17</v>
      </c>
      <c r="E1127" t="s">
        <v>67</v>
      </c>
      <c r="F1127" t="s">
        <v>68</v>
      </c>
      <c r="G1127" t="s">
        <v>20</v>
      </c>
      <c r="H1127" t="s">
        <v>175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t="s">
        <v>22</v>
      </c>
    </row>
    <row r="1128" spans="1:15" x14ac:dyDescent="0.35">
      <c r="A1128" t="s">
        <v>2178</v>
      </c>
      <c r="B1128" s="1">
        <v>45559</v>
      </c>
      <c r="C1128" t="s">
        <v>2179</v>
      </c>
      <c r="D1128" t="s">
        <v>30</v>
      </c>
      <c r="E1128" t="s">
        <v>25</v>
      </c>
      <c r="F1128" t="s">
        <v>26</v>
      </c>
      <c r="G1128" t="s">
        <v>20</v>
      </c>
      <c r="H1128" t="s">
        <v>21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t="s">
        <v>34</v>
      </c>
    </row>
    <row r="1129" spans="1:15" x14ac:dyDescent="0.35">
      <c r="A1129" t="s">
        <v>2180</v>
      </c>
      <c r="B1129" s="1">
        <v>45560</v>
      </c>
      <c r="C1129" t="s">
        <v>2181</v>
      </c>
      <c r="D1129" t="s">
        <v>17</v>
      </c>
      <c r="E1129" t="s">
        <v>25</v>
      </c>
      <c r="F1129" t="s">
        <v>26</v>
      </c>
      <c r="G1129" t="s">
        <v>20</v>
      </c>
      <c r="H1129" t="s">
        <v>264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t="s">
        <v>34</v>
      </c>
    </row>
    <row r="1130" spans="1:15" x14ac:dyDescent="0.35">
      <c r="A1130" t="s">
        <v>2182</v>
      </c>
      <c r="B1130" s="1">
        <v>45561</v>
      </c>
      <c r="C1130" t="s">
        <v>2183</v>
      </c>
      <c r="D1130" t="s">
        <v>17</v>
      </c>
      <c r="E1130" t="s">
        <v>76</v>
      </c>
      <c r="F1130" t="s">
        <v>26</v>
      </c>
      <c r="G1130" t="s">
        <v>69</v>
      </c>
      <c r="H1130" t="s">
        <v>196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t="s">
        <v>34</v>
      </c>
    </row>
    <row r="1131" spans="1:15" x14ac:dyDescent="0.35">
      <c r="A1131" t="s">
        <v>2184</v>
      </c>
      <c r="B1131" s="1">
        <v>45562</v>
      </c>
      <c r="C1131" t="s">
        <v>2185</v>
      </c>
      <c r="D1131" t="s">
        <v>30</v>
      </c>
      <c r="E1131" t="s">
        <v>166</v>
      </c>
      <c r="F1131" t="s">
        <v>60</v>
      </c>
      <c r="G1131" t="s">
        <v>69</v>
      </c>
      <c r="H1131" t="s">
        <v>305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t="s">
        <v>39</v>
      </c>
    </row>
    <row r="1132" spans="1:15" x14ac:dyDescent="0.35">
      <c r="A1132" t="s">
        <v>2186</v>
      </c>
      <c r="B1132" s="1">
        <v>45562</v>
      </c>
      <c r="C1132" t="s">
        <v>2187</v>
      </c>
      <c r="D1132" t="s">
        <v>17</v>
      </c>
      <c r="E1132" t="s">
        <v>76</v>
      </c>
      <c r="F1132" t="s">
        <v>26</v>
      </c>
      <c r="G1132" t="s">
        <v>20</v>
      </c>
      <c r="H1132" t="s">
        <v>106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t="s">
        <v>56</v>
      </c>
    </row>
    <row r="1133" spans="1:15" x14ac:dyDescent="0.35">
      <c r="A1133" t="s">
        <v>2188</v>
      </c>
      <c r="B1133" s="1">
        <v>45563</v>
      </c>
      <c r="C1133" t="s">
        <v>2189</v>
      </c>
      <c r="D1133" t="s">
        <v>30</v>
      </c>
      <c r="E1133" t="s">
        <v>248</v>
      </c>
      <c r="F1133" t="s">
        <v>26</v>
      </c>
      <c r="G1133" t="s">
        <v>42</v>
      </c>
      <c r="H1133" t="s">
        <v>118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t="s">
        <v>56</v>
      </c>
    </row>
    <row r="1134" spans="1:15" x14ac:dyDescent="0.35">
      <c r="A1134" t="s">
        <v>2190</v>
      </c>
      <c r="B1134" s="1">
        <v>45563</v>
      </c>
      <c r="C1134" t="s">
        <v>2191</v>
      </c>
      <c r="D1134" t="s">
        <v>30</v>
      </c>
      <c r="E1134" t="s">
        <v>76</v>
      </c>
      <c r="F1134" t="s">
        <v>26</v>
      </c>
      <c r="G1134" t="s">
        <v>42</v>
      </c>
      <c r="H1134" t="s">
        <v>255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t="s">
        <v>34</v>
      </c>
    </row>
    <row r="1135" spans="1:15" x14ac:dyDescent="0.35">
      <c r="A1135" t="s">
        <v>2192</v>
      </c>
      <c r="B1135" s="1">
        <v>45564</v>
      </c>
      <c r="C1135" t="s">
        <v>329</v>
      </c>
      <c r="D1135" t="s">
        <v>30</v>
      </c>
      <c r="E1135" t="s">
        <v>85</v>
      </c>
      <c r="F1135" t="s">
        <v>60</v>
      </c>
      <c r="G1135" t="s">
        <v>32</v>
      </c>
      <c r="H1135" t="s">
        <v>33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t="s">
        <v>34</v>
      </c>
    </row>
    <row r="1136" spans="1:15" x14ac:dyDescent="0.35">
      <c r="A1136" t="s">
        <v>2193</v>
      </c>
      <c r="B1136" s="1">
        <v>45564</v>
      </c>
      <c r="C1136" t="s">
        <v>2194</v>
      </c>
      <c r="D1136" t="s">
        <v>17</v>
      </c>
      <c r="E1136" t="s">
        <v>109</v>
      </c>
      <c r="F1136" t="s">
        <v>54</v>
      </c>
      <c r="G1136" t="s">
        <v>20</v>
      </c>
      <c r="H1136" t="s">
        <v>38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t="s">
        <v>22</v>
      </c>
    </row>
    <row r="1137" spans="1:15" x14ac:dyDescent="0.35">
      <c r="A1137" t="s">
        <v>2195</v>
      </c>
      <c r="B1137" s="1">
        <v>45565</v>
      </c>
      <c r="C1137" t="s">
        <v>2196</v>
      </c>
      <c r="D1137" t="s">
        <v>17</v>
      </c>
      <c r="E1137" t="s">
        <v>169</v>
      </c>
      <c r="F1137" t="s">
        <v>68</v>
      </c>
      <c r="G1137" t="s">
        <v>20</v>
      </c>
      <c r="H1137" t="s">
        <v>27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t="s">
        <v>39</v>
      </c>
    </row>
    <row r="1138" spans="1:15" x14ac:dyDescent="0.35">
      <c r="A1138" t="s">
        <v>2197</v>
      </c>
      <c r="B1138" s="1">
        <v>45566</v>
      </c>
      <c r="C1138" t="s">
        <v>2198</v>
      </c>
      <c r="D1138" t="s">
        <v>49</v>
      </c>
      <c r="E1138" t="s">
        <v>248</v>
      </c>
      <c r="F1138" t="s">
        <v>26</v>
      </c>
      <c r="G1138" t="s">
        <v>69</v>
      </c>
      <c r="H1138" t="s">
        <v>305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t="s">
        <v>34</v>
      </c>
    </row>
    <row r="1139" spans="1:15" x14ac:dyDescent="0.35">
      <c r="A1139" t="s">
        <v>2199</v>
      </c>
      <c r="B1139" s="1">
        <v>45567</v>
      </c>
      <c r="C1139" t="s">
        <v>2200</v>
      </c>
      <c r="D1139" t="s">
        <v>30</v>
      </c>
      <c r="E1139" t="s">
        <v>67</v>
      </c>
      <c r="F1139" t="s">
        <v>68</v>
      </c>
      <c r="G1139" t="s">
        <v>69</v>
      </c>
      <c r="H1139" t="s">
        <v>86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t="s">
        <v>22</v>
      </c>
    </row>
    <row r="1140" spans="1:15" x14ac:dyDescent="0.35">
      <c r="A1140" t="s">
        <v>2201</v>
      </c>
      <c r="B1140" s="1">
        <v>45567</v>
      </c>
      <c r="C1140" t="s">
        <v>375</v>
      </c>
      <c r="D1140" t="s">
        <v>49</v>
      </c>
      <c r="E1140" t="s">
        <v>31</v>
      </c>
      <c r="F1140" t="s">
        <v>19</v>
      </c>
      <c r="G1140" t="s">
        <v>42</v>
      </c>
      <c r="H1140" t="s">
        <v>294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t="s">
        <v>39</v>
      </c>
    </row>
    <row r="1141" spans="1:15" x14ac:dyDescent="0.35">
      <c r="A1141" t="s">
        <v>2202</v>
      </c>
      <c r="B1141" s="1">
        <v>45568</v>
      </c>
      <c r="C1141" t="s">
        <v>2203</v>
      </c>
      <c r="D1141" t="s">
        <v>30</v>
      </c>
      <c r="E1141" t="s">
        <v>76</v>
      </c>
      <c r="F1141" t="s">
        <v>26</v>
      </c>
      <c r="G1141" t="s">
        <v>20</v>
      </c>
      <c r="H1141" t="s">
        <v>27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t="s">
        <v>39</v>
      </c>
    </row>
    <row r="1142" spans="1:15" x14ac:dyDescent="0.35">
      <c r="A1142" t="s">
        <v>2204</v>
      </c>
      <c r="B1142" s="1">
        <v>45568</v>
      </c>
      <c r="C1142" t="s">
        <v>2173</v>
      </c>
      <c r="D1142" t="s">
        <v>49</v>
      </c>
      <c r="E1142" t="s">
        <v>25</v>
      </c>
      <c r="F1142" t="s">
        <v>26</v>
      </c>
      <c r="G1142" t="s">
        <v>20</v>
      </c>
      <c r="H1142" t="s">
        <v>106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t="s">
        <v>22</v>
      </c>
    </row>
    <row r="1143" spans="1:15" x14ac:dyDescent="0.35">
      <c r="A1143" t="s">
        <v>2205</v>
      </c>
      <c r="B1143" s="1">
        <v>45568</v>
      </c>
      <c r="C1143" t="s">
        <v>2206</v>
      </c>
      <c r="D1143" t="s">
        <v>30</v>
      </c>
      <c r="E1143" t="s">
        <v>76</v>
      </c>
      <c r="F1143" t="s">
        <v>26</v>
      </c>
      <c r="G1143" t="s">
        <v>42</v>
      </c>
      <c r="H1143" t="s">
        <v>93</v>
      </c>
      <c r="I1143">
        <v>4</v>
      </c>
      <c r="J1143">
        <v>287.66000000000003</v>
      </c>
      <c r="K1143">
        <v>5</v>
      </c>
      <c r="L1143">
        <v>1093.1099999999999</v>
      </c>
      <c r="M1143">
        <v>15.79</v>
      </c>
      <c r="N1143">
        <v>386.94</v>
      </c>
      <c r="O1143" t="s">
        <v>22</v>
      </c>
    </row>
    <row r="1144" spans="1:15" x14ac:dyDescent="0.35">
      <c r="A1144" t="s">
        <v>2207</v>
      </c>
      <c r="B1144" s="1">
        <v>45568</v>
      </c>
      <c r="C1144" t="s">
        <v>2208</v>
      </c>
      <c r="D1144" t="s">
        <v>49</v>
      </c>
      <c r="E1144" t="s">
        <v>59</v>
      </c>
      <c r="F1144" t="s">
        <v>60</v>
      </c>
      <c r="G1144" t="s">
        <v>69</v>
      </c>
      <c r="H1144" t="s">
        <v>98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t="s">
        <v>56</v>
      </c>
    </row>
    <row r="1145" spans="1:15" x14ac:dyDescent="0.35">
      <c r="A1145" t="s">
        <v>2209</v>
      </c>
      <c r="B1145" s="1">
        <v>45568</v>
      </c>
      <c r="C1145" t="s">
        <v>134</v>
      </c>
      <c r="D1145" t="s">
        <v>30</v>
      </c>
      <c r="E1145" t="s">
        <v>18</v>
      </c>
      <c r="F1145" t="s">
        <v>19</v>
      </c>
      <c r="G1145" t="s">
        <v>32</v>
      </c>
      <c r="H1145" t="s">
        <v>110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t="s">
        <v>56</v>
      </c>
    </row>
    <row r="1146" spans="1:15" x14ac:dyDescent="0.35">
      <c r="A1146" t="s">
        <v>2210</v>
      </c>
      <c r="B1146" s="1">
        <v>45569</v>
      </c>
      <c r="C1146" t="s">
        <v>417</v>
      </c>
      <c r="D1146" t="s">
        <v>30</v>
      </c>
      <c r="E1146" t="s">
        <v>109</v>
      </c>
      <c r="F1146" t="s">
        <v>54</v>
      </c>
      <c r="G1146" t="s">
        <v>32</v>
      </c>
      <c r="H1146" t="s">
        <v>149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t="s">
        <v>34</v>
      </c>
    </row>
    <row r="1147" spans="1:15" x14ac:dyDescent="0.35">
      <c r="A1147" t="s">
        <v>2211</v>
      </c>
      <c r="B1147" s="1">
        <v>45569</v>
      </c>
      <c r="C1147" t="s">
        <v>2212</v>
      </c>
      <c r="D1147" t="s">
        <v>17</v>
      </c>
      <c r="E1147" t="s">
        <v>59</v>
      </c>
      <c r="F1147" t="s">
        <v>60</v>
      </c>
      <c r="G1147" t="s">
        <v>32</v>
      </c>
      <c r="H1147" t="s">
        <v>82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t="s">
        <v>39</v>
      </c>
    </row>
    <row r="1148" spans="1:15" x14ac:dyDescent="0.35">
      <c r="A1148" t="s">
        <v>2213</v>
      </c>
      <c r="B1148" s="1">
        <v>45569</v>
      </c>
      <c r="C1148" t="s">
        <v>2214</v>
      </c>
      <c r="D1148" t="s">
        <v>17</v>
      </c>
      <c r="E1148" t="s">
        <v>166</v>
      </c>
      <c r="F1148" t="s">
        <v>60</v>
      </c>
      <c r="G1148" t="s">
        <v>20</v>
      </c>
      <c r="H1148" t="s">
        <v>122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t="s">
        <v>56</v>
      </c>
    </row>
    <row r="1149" spans="1:15" x14ac:dyDescent="0.35">
      <c r="A1149" t="s">
        <v>2215</v>
      </c>
      <c r="B1149" s="1">
        <v>45570</v>
      </c>
      <c r="C1149" t="s">
        <v>189</v>
      </c>
      <c r="D1149" t="s">
        <v>30</v>
      </c>
      <c r="E1149" t="s">
        <v>18</v>
      </c>
      <c r="F1149" t="s">
        <v>19</v>
      </c>
      <c r="G1149" t="s">
        <v>42</v>
      </c>
      <c r="H1149" t="s">
        <v>46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t="s">
        <v>22</v>
      </c>
    </row>
    <row r="1150" spans="1:15" x14ac:dyDescent="0.35">
      <c r="A1150" t="s">
        <v>2216</v>
      </c>
      <c r="B1150" s="1">
        <v>45571</v>
      </c>
      <c r="C1150" t="s">
        <v>2217</v>
      </c>
      <c r="D1150" t="s">
        <v>17</v>
      </c>
      <c r="E1150" t="s">
        <v>138</v>
      </c>
      <c r="F1150" t="s">
        <v>54</v>
      </c>
      <c r="G1150" t="s">
        <v>32</v>
      </c>
      <c r="H1150" t="s">
        <v>73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t="s">
        <v>22</v>
      </c>
    </row>
    <row r="1151" spans="1:15" x14ac:dyDescent="0.35">
      <c r="A1151" t="s">
        <v>2218</v>
      </c>
      <c r="B1151" s="1">
        <v>45571</v>
      </c>
      <c r="C1151" t="s">
        <v>2219</v>
      </c>
      <c r="D1151" t="s">
        <v>49</v>
      </c>
      <c r="E1151" t="s">
        <v>129</v>
      </c>
      <c r="F1151" t="s">
        <v>19</v>
      </c>
      <c r="G1151" t="s">
        <v>69</v>
      </c>
      <c r="H1151" t="s">
        <v>70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t="s">
        <v>34</v>
      </c>
    </row>
    <row r="1152" spans="1:15" x14ac:dyDescent="0.35">
      <c r="A1152" t="s">
        <v>2220</v>
      </c>
      <c r="B1152" s="1">
        <v>45571</v>
      </c>
      <c r="C1152" t="s">
        <v>1292</v>
      </c>
      <c r="D1152" t="s">
        <v>17</v>
      </c>
      <c r="E1152" t="s">
        <v>67</v>
      </c>
      <c r="F1152" t="s">
        <v>68</v>
      </c>
      <c r="G1152" t="s">
        <v>69</v>
      </c>
      <c r="H1152" t="s">
        <v>79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t="s">
        <v>34</v>
      </c>
    </row>
    <row r="1153" spans="1:15" x14ac:dyDescent="0.35">
      <c r="A1153" t="s">
        <v>2221</v>
      </c>
      <c r="B1153" s="1">
        <v>45571</v>
      </c>
      <c r="C1153" t="s">
        <v>2222</v>
      </c>
      <c r="D1153" t="s">
        <v>30</v>
      </c>
      <c r="E1153" t="s">
        <v>37</v>
      </c>
      <c r="F1153" t="s">
        <v>26</v>
      </c>
      <c r="G1153" t="s">
        <v>69</v>
      </c>
      <c r="H1153" t="s">
        <v>79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t="s">
        <v>34</v>
      </c>
    </row>
    <row r="1154" spans="1:15" x14ac:dyDescent="0.35">
      <c r="A1154" t="s">
        <v>2223</v>
      </c>
      <c r="B1154" s="1">
        <v>45571</v>
      </c>
      <c r="C1154" t="s">
        <v>2224</v>
      </c>
      <c r="D1154" t="s">
        <v>30</v>
      </c>
      <c r="E1154" t="s">
        <v>135</v>
      </c>
      <c r="F1154" t="s">
        <v>26</v>
      </c>
      <c r="G1154" t="s">
        <v>20</v>
      </c>
      <c r="H1154" t="s">
        <v>106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t="s">
        <v>22</v>
      </c>
    </row>
    <row r="1155" spans="1:15" x14ac:dyDescent="0.35">
      <c r="A1155" t="s">
        <v>2225</v>
      </c>
      <c r="B1155" s="1">
        <v>45573</v>
      </c>
      <c r="C1155" t="s">
        <v>2226</v>
      </c>
      <c r="D1155" t="s">
        <v>30</v>
      </c>
      <c r="E1155" t="s">
        <v>18</v>
      </c>
      <c r="F1155" t="s">
        <v>19</v>
      </c>
      <c r="G1155" t="s">
        <v>69</v>
      </c>
      <c r="H1155" t="s">
        <v>196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t="s">
        <v>39</v>
      </c>
    </row>
    <row r="1156" spans="1:15" x14ac:dyDescent="0.35">
      <c r="A1156" t="s">
        <v>2227</v>
      </c>
      <c r="B1156" s="1">
        <v>45574</v>
      </c>
      <c r="C1156" t="s">
        <v>2228</v>
      </c>
      <c r="D1156" t="s">
        <v>30</v>
      </c>
      <c r="E1156" t="s">
        <v>92</v>
      </c>
      <c r="F1156" t="s">
        <v>60</v>
      </c>
      <c r="G1156" t="s">
        <v>69</v>
      </c>
      <c r="H1156" t="s">
        <v>163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t="s">
        <v>39</v>
      </c>
    </row>
    <row r="1157" spans="1:15" x14ac:dyDescent="0.35">
      <c r="A1157" t="s">
        <v>2229</v>
      </c>
      <c r="B1157" s="1">
        <v>45574</v>
      </c>
      <c r="C1157" t="s">
        <v>2230</v>
      </c>
      <c r="D1157" t="s">
        <v>30</v>
      </c>
      <c r="E1157" t="s">
        <v>37</v>
      </c>
      <c r="F1157" t="s">
        <v>26</v>
      </c>
      <c r="G1157" t="s">
        <v>20</v>
      </c>
      <c r="H1157" t="s">
        <v>122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t="s">
        <v>34</v>
      </c>
    </row>
    <row r="1158" spans="1:15" x14ac:dyDescent="0.35">
      <c r="A1158" t="s">
        <v>2231</v>
      </c>
      <c r="B1158" s="1">
        <v>45574</v>
      </c>
      <c r="C1158" t="s">
        <v>2232</v>
      </c>
      <c r="D1158" t="s">
        <v>30</v>
      </c>
      <c r="E1158" t="s">
        <v>92</v>
      </c>
      <c r="F1158" t="s">
        <v>60</v>
      </c>
      <c r="G1158" t="s">
        <v>32</v>
      </c>
      <c r="H1158" t="s">
        <v>132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t="s">
        <v>34</v>
      </c>
    </row>
    <row r="1159" spans="1:15" x14ac:dyDescent="0.35">
      <c r="A1159" t="s">
        <v>2233</v>
      </c>
      <c r="B1159" s="1">
        <v>45574</v>
      </c>
      <c r="C1159" t="s">
        <v>784</v>
      </c>
      <c r="D1159" t="s">
        <v>30</v>
      </c>
      <c r="E1159" t="s">
        <v>31</v>
      </c>
      <c r="F1159" t="s">
        <v>19</v>
      </c>
      <c r="G1159" t="s">
        <v>20</v>
      </c>
      <c r="H1159" t="s">
        <v>21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t="s">
        <v>39</v>
      </c>
    </row>
    <row r="1160" spans="1:15" x14ac:dyDescent="0.35">
      <c r="A1160" t="s">
        <v>2234</v>
      </c>
      <c r="B1160" s="1">
        <v>45574</v>
      </c>
      <c r="C1160" t="s">
        <v>2235</v>
      </c>
      <c r="D1160" t="s">
        <v>49</v>
      </c>
      <c r="E1160" t="s">
        <v>92</v>
      </c>
      <c r="F1160" t="s">
        <v>60</v>
      </c>
      <c r="G1160" t="s">
        <v>69</v>
      </c>
      <c r="H1160" t="s">
        <v>196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t="s">
        <v>56</v>
      </c>
    </row>
    <row r="1161" spans="1:15" x14ac:dyDescent="0.35">
      <c r="A1161" t="s">
        <v>2236</v>
      </c>
      <c r="B1161" s="1">
        <v>45574</v>
      </c>
      <c r="C1161" t="s">
        <v>1783</v>
      </c>
      <c r="D1161" t="s">
        <v>49</v>
      </c>
      <c r="E1161" t="s">
        <v>248</v>
      </c>
      <c r="F1161" t="s">
        <v>26</v>
      </c>
      <c r="G1161" t="s">
        <v>69</v>
      </c>
      <c r="H1161" t="s">
        <v>160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t="s">
        <v>39</v>
      </c>
    </row>
    <row r="1162" spans="1:15" x14ac:dyDescent="0.35">
      <c r="A1162" t="s">
        <v>2237</v>
      </c>
      <c r="B1162" s="1">
        <v>45574</v>
      </c>
      <c r="C1162" t="s">
        <v>2238</v>
      </c>
      <c r="D1162" t="s">
        <v>30</v>
      </c>
      <c r="E1162" t="s">
        <v>31</v>
      </c>
      <c r="F1162" t="s">
        <v>19</v>
      </c>
      <c r="G1162" t="s">
        <v>42</v>
      </c>
      <c r="H1162" t="s">
        <v>89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t="s">
        <v>34</v>
      </c>
    </row>
    <row r="1163" spans="1:15" x14ac:dyDescent="0.35">
      <c r="A1163" t="s">
        <v>2239</v>
      </c>
      <c r="B1163" s="1">
        <v>45575</v>
      </c>
      <c r="C1163" t="s">
        <v>2240</v>
      </c>
      <c r="D1163" t="s">
        <v>17</v>
      </c>
      <c r="E1163" t="s">
        <v>85</v>
      </c>
      <c r="F1163" t="s">
        <v>60</v>
      </c>
      <c r="G1163" t="s">
        <v>42</v>
      </c>
      <c r="H1163" t="s">
        <v>89</v>
      </c>
      <c r="I1163">
        <v>10</v>
      </c>
      <c r="J1163">
        <v>345.3</v>
      </c>
      <c r="K1163">
        <v>20</v>
      </c>
      <c r="L1163">
        <v>2762.4</v>
      </c>
      <c r="M1163">
        <v>32.74</v>
      </c>
      <c r="N1163">
        <v>657.86</v>
      </c>
      <c r="O1163" t="s">
        <v>34</v>
      </c>
    </row>
    <row r="1164" spans="1:15" x14ac:dyDescent="0.35">
      <c r="A1164" t="s">
        <v>2241</v>
      </c>
      <c r="B1164" s="1">
        <v>45575</v>
      </c>
      <c r="C1164" t="s">
        <v>2242</v>
      </c>
      <c r="D1164" t="s">
        <v>17</v>
      </c>
      <c r="E1164" t="s">
        <v>31</v>
      </c>
      <c r="F1164" t="s">
        <v>19</v>
      </c>
      <c r="G1164" t="s">
        <v>69</v>
      </c>
      <c r="H1164" t="s">
        <v>243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t="s">
        <v>22</v>
      </c>
    </row>
    <row r="1165" spans="1:15" x14ac:dyDescent="0.35">
      <c r="A1165" t="s">
        <v>2243</v>
      </c>
      <c r="B1165" s="1">
        <v>45575</v>
      </c>
      <c r="C1165" t="s">
        <v>2244</v>
      </c>
      <c r="D1165" t="s">
        <v>30</v>
      </c>
      <c r="E1165" t="s">
        <v>59</v>
      </c>
      <c r="F1165" t="s">
        <v>60</v>
      </c>
      <c r="G1165" t="s">
        <v>42</v>
      </c>
      <c r="H1165" t="s">
        <v>234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t="s">
        <v>34</v>
      </c>
    </row>
    <row r="1166" spans="1:15" x14ac:dyDescent="0.35">
      <c r="A1166" t="s">
        <v>2245</v>
      </c>
      <c r="B1166" s="1">
        <v>45576</v>
      </c>
      <c r="C1166" t="s">
        <v>2246</v>
      </c>
      <c r="D1166" t="s">
        <v>49</v>
      </c>
      <c r="E1166" t="s">
        <v>129</v>
      </c>
      <c r="F1166" t="s">
        <v>19</v>
      </c>
      <c r="G1166" t="s">
        <v>69</v>
      </c>
      <c r="H1166" t="s">
        <v>305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t="s">
        <v>39</v>
      </c>
    </row>
    <row r="1167" spans="1:15" x14ac:dyDescent="0.35">
      <c r="A1167" t="s">
        <v>2247</v>
      </c>
      <c r="B1167" s="1">
        <v>45576</v>
      </c>
      <c r="C1167" t="s">
        <v>427</v>
      </c>
      <c r="D1167" t="s">
        <v>30</v>
      </c>
      <c r="E1167" t="s">
        <v>37</v>
      </c>
      <c r="F1167" t="s">
        <v>26</v>
      </c>
      <c r="G1167" t="s">
        <v>20</v>
      </c>
      <c r="H1167" t="s">
        <v>175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t="s">
        <v>34</v>
      </c>
    </row>
    <row r="1168" spans="1:15" x14ac:dyDescent="0.35">
      <c r="A1168" t="s">
        <v>2248</v>
      </c>
      <c r="B1168" s="1">
        <v>45576</v>
      </c>
      <c r="C1168" t="s">
        <v>2024</v>
      </c>
      <c r="D1168" t="s">
        <v>30</v>
      </c>
      <c r="E1168" t="s">
        <v>25</v>
      </c>
      <c r="F1168" t="s">
        <v>26</v>
      </c>
      <c r="G1168" t="s">
        <v>42</v>
      </c>
      <c r="H1168" t="s">
        <v>64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t="s">
        <v>56</v>
      </c>
    </row>
    <row r="1169" spans="1:15" x14ac:dyDescent="0.35">
      <c r="A1169" t="s">
        <v>2249</v>
      </c>
      <c r="B1169" s="1">
        <v>45576</v>
      </c>
      <c r="C1169" t="s">
        <v>2250</v>
      </c>
      <c r="D1169" t="s">
        <v>17</v>
      </c>
      <c r="E1169" t="s">
        <v>31</v>
      </c>
      <c r="F1169" t="s">
        <v>19</v>
      </c>
      <c r="G1169" t="s">
        <v>32</v>
      </c>
      <c r="H1169" t="s">
        <v>73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t="s">
        <v>34</v>
      </c>
    </row>
    <row r="1170" spans="1:15" x14ac:dyDescent="0.35">
      <c r="A1170" t="s">
        <v>2251</v>
      </c>
      <c r="B1170" s="1">
        <v>45576</v>
      </c>
      <c r="C1170" t="s">
        <v>2252</v>
      </c>
      <c r="D1170" t="s">
        <v>30</v>
      </c>
      <c r="E1170" t="s">
        <v>59</v>
      </c>
      <c r="F1170" t="s">
        <v>60</v>
      </c>
      <c r="G1170" t="s">
        <v>32</v>
      </c>
      <c r="H1170" t="s">
        <v>50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t="s">
        <v>34</v>
      </c>
    </row>
    <row r="1171" spans="1:15" x14ac:dyDescent="0.35">
      <c r="A1171" t="s">
        <v>2253</v>
      </c>
      <c r="B1171" s="1">
        <v>45578</v>
      </c>
      <c r="C1171" t="s">
        <v>2254</v>
      </c>
      <c r="D1171" t="s">
        <v>30</v>
      </c>
      <c r="E1171" t="s">
        <v>76</v>
      </c>
      <c r="F1171" t="s">
        <v>26</v>
      </c>
      <c r="G1171" t="s">
        <v>42</v>
      </c>
      <c r="H1171" t="s">
        <v>93</v>
      </c>
      <c r="I1171">
        <v>4</v>
      </c>
      <c r="J1171">
        <v>275.12</v>
      </c>
      <c r="K1171">
        <v>5</v>
      </c>
      <c r="L1171">
        <v>1045.46</v>
      </c>
      <c r="M1171">
        <v>13.94</v>
      </c>
      <c r="N1171">
        <v>371.23</v>
      </c>
      <c r="O1171" t="s">
        <v>39</v>
      </c>
    </row>
    <row r="1172" spans="1:15" x14ac:dyDescent="0.35">
      <c r="A1172" t="s">
        <v>2255</v>
      </c>
      <c r="B1172" s="1">
        <v>45578</v>
      </c>
      <c r="C1172" t="s">
        <v>2256</v>
      </c>
      <c r="D1172" t="s">
        <v>30</v>
      </c>
      <c r="E1172" t="s">
        <v>166</v>
      </c>
      <c r="F1172" t="s">
        <v>60</v>
      </c>
      <c r="G1172" t="s">
        <v>20</v>
      </c>
      <c r="H1172" t="s">
        <v>38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t="s">
        <v>56</v>
      </c>
    </row>
    <row r="1173" spans="1:15" x14ac:dyDescent="0.35">
      <c r="A1173" t="s">
        <v>2257</v>
      </c>
      <c r="B1173" s="1">
        <v>45579</v>
      </c>
      <c r="C1173" t="s">
        <v>2258</v>
      </c>
      <c r="D1173" t="s">
        <v>30</v>
      </c>
      <c r="E1173" t="s">
        <v>109</v>
      </c>
      <c r="F1173" t="s">
        <v>54</v>
      </c>
      <c r="G1173" t="s">
        <v>69</v>
      </c>
      <c r="H1173" t="s">
        <v>305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t="s">
        <v>39</v>
      </c>
    </row>
    <row r="1174" spans="1:15" x14ac:dyDescent="0.35">
      <c r="A1174" t="s">
        <v>2259</v>
      </c>
      <c r="B1174" s="1">
        <v>45579</v>
      </c>
      <c r="C1174" t="s">
        <v>805</v>
      </c>
      <c r="D1174" t="s">
        <v>30</v>
      </c>
      <c r="E1174" t="s">
        <v>59</v>
      </c>
      <c r="F1174" t="s">
        <v>60</v>
      </c>
      <c r="G1174" t="s">
        <v>32</v>
      </c>
      <c r="H1174" t="s">
        <v>348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t="s">
        <v>34</v>
      </c>
    </row>
    <row r="1175" spans="1:15" x14ac:dyDescent="0.35">
      <c r="A1175" t="s">
        <v>2260</v>
      </c>
      <c r="B1175" s="1">
        <v>45579</v>
      </c>
      <c r="C1175" t="s">
        <v>2261</v>
      </c>
      <c r="D1175" t="s">
        <v>49</v>
      </c>
      <c r="E1175" t="s">
        <v>59</v>
      </c>
      <c r="F1175" t="s">
        <v>60</v>
      </c>
      <c r="G1175" t="s">
        <v>69</v>
      </c>
      <c r="H1175" t="s">
        <v>70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t="s">
        <v>22</v>
      </c>
    </row>
    <row r="1176" spans="1:15" x14ac:dyDescent="0.35">
      <c r="A1176" t="s">
        <v>2262</v>
      </c>
      <c r="B1176" s="1">
        <v>45580</v>
      </c>
      <c r="C1176" t="s">
        <v>2263</v>
      </c>
      <c r="D1176" t="s">
        <v>17</v>
      </c>
      <c r="E1176" t="s">
        <v>31</v>
      </c>
      <c r="F1176" t="s">
        <v>19</v>
      </c>
      <c r="G1176" t="s">
        <v>32</v>
      </c>
      <c r="H1176" t="s">
        <v>101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t="s">
        <v>39</v>
      </c>
    </row>
    <row r="1177" spans="1:15" x14ac:dyDescent="0.35">
      <c r="A1177" t="s">
        <v>2264</v>
      </c>
      <c r="B1177" s="1">
        <v>45580</v>
      </c>
      <c r="C1177" t="s">
        <v>2265</v>
      </c>
      <c r="D1177" t="s">
        <v>30</v>
      </c>
      <c r="E1177" t="s">
        <v>31</v>
      </c>
      <c r="F1177" t="s">
        <v>19</v>
      </c>
      <c r="G1177" t="s">
        <v>32</v>
      </c>
      <c r="H1177" t="s">
        <v>149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t="s">
        <v>39</v>
      </c>
    </row>
    <row r="1178" spans="1:15" x14ac:dyDescent="0.35">
      <c r="A1178" t="s">
        <v>2266</v>
      </c>
      <c r="B1178" s="1">
        <v>45581</v>
      </c>
      <c r="C1178" t="s">
        <v>479</v>
      </c>
      <c r="D1178" t="s">
        <v>17</v>
      </c>
      <c r="E1178" t="s">
        <v>129</v>
      </c>
      <c r="F1178" t="s">
        <v>19</v>
      </c>
      <c r="G1178" t="s">
        <v>69</v>
      </c>
      <c r="H1178" t="s">
        <v>163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t="s">
        <v>34</v>
      </c>
    </row>
    <row r="1179" spans="1:15" x14ac:dyDescent="0.35">
      <c r="A1179" t="s">
        <v>2267</v>
      </c>
      <c r="B1179" s="1">
        <v>45582</v>
      </c>
      <c r="C1179" t="s">
        <v>2268</v>
      </c>
      <c r="D1179" t="s">
        <v>30</v>
      </c>
      <c r="E1179" t="s">
        <v>121</v>
      </c>
      <c r="F1179" t="s">
        <v>68</v>
      </c>
      <c r="G1179" t="s">
        <v>69</v>
      </c>
      <c r="H1179" t="s">
        <v>98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t="s">
        <v>34</v>
      </c>
    </row>
    <row r="1180" spans="1:15" x14ac:dyDescent="0.35">
      <c r="A1180" t="s">
        <v>2269</v>
      </c>
      <c r="B1180" s="1">
        <v>45582</v>
      </c>
      <c r="C1180" t="s">
        <v>2270</v>
      </c>
      <c r="D1180" t="s">
        <v>17</v>
      </c>
      <c r="E1180" t="s">
        <v>18</v>
      </c>
      <c r="F1180" t="s">
        <v>19</v>
      </c>
      <c r="G1180" t="s">
        <v>20</v>
      </c>
      <c r="H1180" t="s">
        <v>38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t="s">
        <v>34</v>
      </c>
    </row>
    <row r="1181" spans="1:15" x14ac:dyDescent="0.35">
      <c r="A1181" t="s">
        <v>2271</v>
      </c>
      <c r="B1181" s="1">
        <v>45582</v>
      </c>
      <c r="C1181" t="s">
        <v>2272</v>
      </c>
      <c r="D1181" t="s">
        <v>17</v>
      </c>
      <c r="E1181" t="s">
        <v>63</v>
      </c>
      <c r="F1181" t="s">
        <v>54</v>
      </c>
      <c r="G1181" t="s">
        <v>32</v>
      </c>
      <c r="H1181" t="s">
        <v>73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t="s">
        <v>56</v>
      </c>
    </row>
    <row r="1182" spans="1:15" x14ac:dyDescent="0.35">
      <c r="A1182" t="s">
        <v>2273</v>
      </c>
      <c r="B1182" s="1">
        <v>45583</v>
      </c>
      <c r="C1182" t="s">
        <v>2274</v>
      </c>
      <c r="D1182" t="s">
        <v>17</v>
      </c>
      <c r="E1182" t="s">
        <v>85</v>
      </c>
      <c r="F1182" t="s">
        <v>60</v>
      </c>
      <c r="G1182" t="s">
        <v>20</v>
      </c>
      <c r="H1182" t="s">
        <v>175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t="s">
        <v>34</v>
      </c>
    </row>
    <row r="1183" spans="1:15" x14ac:dyDescent="0.35">
      <c r="A1183" t="s">
        <v>2275</v>
      </c>
      <c r="B1183" s="1">
        <v>45584</v>
      </c>
      <c r="C1183" t="s">
        <v>2276</v>
      </c>
      <c r="D1183" t="s">
        <v>30</v>
      </c>
      <c r="E1183" t="s">
        <v>63</v>
      </c>
      <c r="F1183" t="s">
        <v>54</v>
      </c>
      <c r="G1183" t="s">
        <v>42</v>
      </c>
      <c r="H1183" t="s">
        <v>89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t="s">
        <v>39</v>
      </c>
    </row>
    <row r="1184" spans="1:15" x14ac:dyDescent="0.35">
      <c r="A1184" t="s">
        <v>2277</v>
      </c>
      <c r="B1184" s="1">
        <v>45584</v>
      </c>
      <c r="C1184" t="s">
        <v>2278</v>
      </c>
      <c r="D1184" t="s">
        <v>30</v>
      </c>
      <c r="E1184" t="s">
        <v>59</v>
      </c>
      <c r="F1184" t="s">
        <v>60</v>
      </c>
      <c r="G1184" t="s">
        <v>32</v>
      </c>
      <c r="H1184" t="s">
        <v>132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t="s">
        <v>34</v>
      </c>
    </row>
    <row r="1185" spans="1:15" x14ac:dyDescent="0.35">
      <c r="A1185" t="s">
        <v>2279</v>
      </c>
      <c r="B1185" s="1">
        <v>45584</v>
      </c>
      <c r="C1185" t="s">
        <v>2280</v>
      </c>
      <c r="D1185" t="s">
        <v>17</v>
      </c>
      <c r="E1185" t="s">
        <v>18</v>
      </c>
      <c r="F1185" t="s">
        <v>19</v>
      </c>
      <c r="G1185" t="s">
        <v>42</v>
      </c>
      <c r="H1185" t="s">
        <v>93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t="s">
        <v>34</v>
      </c>
    </row>
    <row r="1186" spans="1:15" x14ac:dyDescent="0.35">
      <c r="A1186" t="s">
        <v>2281</v>
      </c>
      <c r="B1186" s="1">
        <v>45586</v>
      </c>
      <c r="C1186" t="s">
        <v>2282</v>
      </c>
      <c r="D1186" t="s">
        <v>30</v>
      </c>
      <c r="E1186" t="s">
        <v>18</v>
      </c>
      <c r="F1186" t="s">
        <v>19</v>
      </c>
      <c r="G1186" t="s">
        <v>32</v>
      </c>
      <c r="H1186" t="s">
        <v>115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t="s">
        <v>34</v>
      </c>
    </row>
    <row r="1187" spans="1:15" x14ac:dyDescent="0.35">
      <c r="A1187" t="s">
        <v>2283</v>
      </c>
      <c r="B1187" s="1">
        <v>45588</v>
      </c>
      <c r="C1187" t="s">
        <v>2284</v>
      </c>
      <c r="D1187" t="s">
        <v>49</v>
      </c>
      <c r="E1187" t="s">
        <v>138</v>
      </c>
      <c r="F1187" t="s">
        <v>54</v>
      </c>
      <c r="G1187" t="s">
        <v>32</v>
      </c>
      <c r="H1187" t="s">
        <v>149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t="s">
        <v>34</v>
      </c>
    </row>
    <row r="1188" spans="1:15" x14ac:dyDescent="0.35">
      <c r="A1188" t="s">
        <v>2285</v>
      </c>
      <c r="B1188" s="1">
        <v>45588</v>
      </c>
      <c r="C1188" t="s">
        <v>2286</v>
      </c>
      <c r="D1188" t="s">
        <v>49</v>
      </c>
      <c r="E1188" t="s">
        <v>129</v>
      </c>
      <c r="F1188" t="s">
        <v>19</v>
      </c>
      <c r="G1188" t="s">
        <v>42</v>
      </c>
      <c r="H1188" t="s">
        <v>294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t="s">
        <v>39</v>
      </c>
    </row>
    <row r="1189" spans="1:15" x14ac:dyDescent="0.35">
      <c r="A1189" t="s">
        <v>2287</v>
      </c>
      <c r="B1189" s="1">
        <v>45589</v>
      </c>
      <c r="C1189" t="s">
        <v>2288</v>
      </c>
      <c r="D1189" t="s">
        <v>30</v>
      </c>
      <c r="E1189" t="s">
        <v>121</v>
      </c>
      <c r="F1189" t="s">
        <v>68</v>
      </c>
      <c r="G1189" t="s">
        <v>20</v>
      </c>
      <c r="H1189" t="s">
        <v>55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t="s">
        <v>34</v>
      </c>
    </row>
    <row r="1190" spans="1:15" x14ac:dyDescent="0.35">
      <c r="A1190" t="s">
        <v>2289</v>
      </c>
      <c r="B1190" s="1">
        <v>45589</v>
      </c>
      <c r="C1190" t="s">
        <v>2290</v>
      </c>
      <c r="D1190" t="s">
        <v>17</v>
      </c>
      <c r="E1190" t="s">
        <v>37</v>
      </c>
      <c r="F1190" t="s">
        <v>26</v>
      </c>
      <c r="G1190" t="s">
        <v>20</v>
      </c>
      <c r="H1190" t="s">
        <v>175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t="s">
        <v>39</v>
      </c>
    </row>
    <row r="1191" spans="1:15" x14ac:dyDescent="0.35">
      <c r="A1191" t="s">
        <v>2291</v>
      </c>
      <c r="B1191" s="1">
        <v>45590</v>
      </c>
      <c r="C1191" t="s">
        <v>2292</v>
      </c>
      <c r="D1191" t="s">
        <v>17</v>
      </c>
      <c r="E1191" t="s">
        <v>135</v>
      </c>
      <c r="F1191" t="s">
        <v>26</v>
      </c>
      <c r="G1191" t="s">
        <v>20</v>
      </c>
      <c r="H1191" t="s">
        <v>122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t="s">
        <v>39</v>
      </c>
    </row>
    <row r="1192" spans="1:15" x14ac:dyDescent="0.35">
      <c r="A1192" t="s">
        <v>2293</v>
      </c>
      <c r="B1192" s="1">
        <v>45590</v>
      </c>
      <c r="C1192" t="s">
        <v>2294</v>
      </c>
      <c r="D1192" t="s">
        <v>49</v>
      </c>
      <c r="E1192" t="s">
        <v>76</v>
      </c>
      <c r="F1192" t="s">
        <v>26</v>
      </c>
      <c r="G1192" t="s">
        <v>32</v>
      </c>
      <c r="H1192" t="s">
        <v>149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t="s">
        <v>22</v>
      </c>
    </row>
    <row r="1193" spans="1:15" x14ac:dyDescent="0.35">
      <c r="A1193" t="s">
        <v>2295</v>
      </c>
      <c r="B1193" s="1">
        <v>45591</v>
      </c>
      <c r="C1193" t="s">
        <v>1626</v>
      </c>
      <c r="D1193" t="s">
        <v>49</v>
      </c>
      <c r="E1193" t="s">
        <v>92</v>
      </c>
      <c r="F1193" t="s">
        <v>60</v>
      </c>
      <c r="G1193" t="s">
        <v>20</v>
      </c>
      <c r="H1193" t="s">
        <v>175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t="s">
        <v>34</v>
      </c>
    </row>
    <row r="1194" spans="1:15" x14ac:dyDescent="0.35">
      <c r="A1194" t="s">
        <v>2296</v>
      </c>
      <c r="B1194" s="1">
        <v>45591</v>
      </c>
      <c r="C1194" t="s">
        <v>2297</v>
      </c>
      <c r="D1194" t="s">
        <v>30</v>
      </c>
      <c r="E1194" t="s">
        <v>138</v>
      </c>
      <c r="F1194" t="s">
        <v>54</v>
      </c>
      <c r="G1194" t="s">
        <v>69</v>
      </c>
      <c r="H1194" t="s">
        <v>86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t="s">
        <v>22</v>
      </c>
    </row>
    <row r="1195" spans="1:15" x14ac:dyDescent="0.35">
      <c r="A1195" t="s">
        <v>2298</v>
      </c>
      <c r="B1195" s="1">
        <v>45591</v>
      </c>
      <c r="C1195" t="s">
        <v>1133</v>
      </c>
      <c r="D1195" t="s">
        <v>17</v>
      </c>
      <c r="E1195" t="s">
        <v>37</v>
      </c>
      <c r="F1195" t="s">
        <v>26</v>
      </c>
      <c r="G1195" t="s">
        <v>69</v>
      </c>
      <c r="H1195" t="s">
        <v>305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t="s">
        <v>56</v>
      </c>
    </row>
    <row r="1196" spans="1:15" x14ac:dyDescent="0.35">
      <c r="A1196" t="s">
        <v>2299</v>
      </c>
      <c r="B1196" s="1">
        <v>45591</v>
      </c>
      <c r="C1196" t="s">
        <v>1733</v>
      </c>
      <c r="D1196" t="s">
        <v>30</v>
      </c>
      <c r="E1196" t="s">
        <v>18</v>
      </c>
      <c r="F1196" t="s">
        <v>19</v>
      </c>
      <c r="G1196" t="s">
        <v>20</v>
      </c>
      <c r="H1196" t="s">
        <v>55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t="s">
        <v>34</v>
      </c>
    </row>
    <row r="1197" spans="1:15" x14ac:dyDescent="0.35">
      <c r="A1197" t="s">
        <v>2300</v>
      </c>
      <c r="B1197" s="1">
        <v>45592</v>
      </c>
      <c r="C1197" t="s">
        <v>2301</v>
      </c>
      <c r="D1197" t="s">
        <v>30</v>
      </c>
      <c r="E1197" t="s">
        <v>148</v>
      </c>
      <c r="F1197" t="s">
        <v>60</v>
      </c>
      <c r="G1197" t="s">
        <v>42</v>
      </c>
      <c r="H1197" t="s">
        <v>64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t="s">
        <v>56</v>
      </c>
    </row>
    <row r="1198" spans="1:15" x14ac:dyDescent="0.35">
      <c r="A1198" t="s">
        <v>2302</v>
      </c>
      <c r="B1198" s="1">
        <v>45592</v>
      </c>
      <c r="C1198" t="s">
        <v>2303</v>
      </c>
      <c r="D1198" t="s">
        <v>17</v>
      </c>
      <c r="E1198" t="s">
        <v>59</v>
      </c>
      <c r="F1198" t="s">
        <v>60</v>
      </c>
      <c r="G1198" t="s">
        <v>32</v>
      </c>
      <c r="H1198" t="s">
        <v>33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t="s">
        <v>34</v>
      </c>
    </row>
    <row r="1199" spans="1:15" x14ac:dyDescent="0.35">
      <c r="A1199" t="s">
        <v>2304</v>
      </c>
      <c r="B1199" s="1">
        <v>45592</v>
      </c>
      <c r="C1199" t="s">
        <v>1807</v>
      </c>
      <c r="D1199" t="s">
        <v>17</v>
      </c>
      <c r="E1199" t="s">
        <v>76</v>
      </c>
      <c r="F1199" t="s">
        <v>26</v>
      </c>
      <c r="G1199" t="s">
        <v>32</v>
      </c>
      <c r="H1199" t="s">
        <v>115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t="s">
        <v>56</v>
      </c>
    </row>
    <row r="1200" spans="1:15" x14ac:dyDescent="0.35">
      <c r="A1200" t="s">
        <v>2305</v>
      </c>
      <c r="B1200" s="1">
        <v>45592</v>
      </c>
      <c r="C1200" t="s">
        <v>2306</v>
      </c>
      <c r="D1200" t="s">
        <v>30</v>
      </c>
      <c r="E1200" t="s">
        <v>59</v>
      </c>
      <c r="F1200" t="s">
        <v>60</v>
      </c>
      <c r="G1200" t="s">
        <v>20</v>
      </c>
      <c r="H1200" t="s">
        <v>38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t="s">
        <v>39</v>
      </c>
    </row>
    <row r="1201" spans="1:15" x14ac:dyDescent="0.35">
      <c r="A1201" t="s">
        <v>2307</v>
      </c>
      <c r="B1201" s="1">
        <v>45592</v>
      </c>
      <c r="C1201" t="s">
        <v>447</v>
      </c>
      <c r="D1201" t="s">
        <v>30</v>
      </c>
      <c r="E1201" t="s">
        <v>25</v>
      </c>
      <c r="F1201" t="s">
        <v>26</v>
      </c>
      <c r="G1201" t="s">
        <v>20</v>
      </c>
      <c r="H1201" t="s">
        <v>175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t="s">
        <v>22</v>
      </c>
    </row>
    <row r="1202" spans="1:15" x14ac:dyDescent="0.35">
      <c r="A1202" t="s">
        <v>2308</v>
      </c>
      <c r="B1202" s="1">
        <v>45593</v>
      </c>
      <c r="C1202" t="s">
        <v>2309</v>
      </c>
      <c r="D1202" t="s">
        <v>30</v>
      </c>
      <c r="E1202" t="s">
        <v>92</v>
      </c>
      <c r="F1202" t="s">
        <v>60</v>
      </c>
      <c r="G1202" t="s">
        <v>69</v>
      </c>
      <c r="H1202" t="s">
        <v>160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t="s">
        <v>39</v>
      </c>
    </row>
    <row r="1203" spans="1:15" x14ac:dyDescent="0.35">
      <c r="A1203" t="s">
        <v>2310</v>
      </c>
      <c r="B1203" s="1">
        <v>45594</v>
      </c>
      <c r="C1203" t="s">
        <v>1935</v>
      </c>
      <c r="D1203" t="s">
        <v>17</v>
      </c>
      <c r="E1203" t="s">
        <v>169</v>
      </c>
      <c r="F1203" t="s">
        <v>68</v>
      </c>
      <c r="G1203" t="s">
        <v>20</v>
      </c>
      <c r="H1203" t="s">
        <v>170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t="s">
        <v>22</v>
      </c>
    </row>
    <row r="1204" spans="1:15" x14ac:dyDescent="0.35">
      <c r="A1204" t="s">
        <v>2311</v>
      </c>
      <c r="B1204" s="1">
        <v>45594</v>
      </c>
      <c r="C1204" t="s">
        <v>2312</v>
      </c>
      <c r="D1204" t="s">
        <v>30</v>
      </c>
      <c r="E1204" t="s">
        <v>37</v>
      </c>
      <c r="F1204" t="s">
        <v>26</v>
      </c>
      <c r="G1204" t="s">
        <v>69</v>
      </c>
      <c r="H1204" t="s">
        <v>196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t="s">
        <v>56</v>
      </c>
    </row>
    <row r="1205" spans="1:15" x14ac:dyDescent="0.35">
      <c r="A1205" t="s">
        <v>2313</v>
      </c>
      <c r="B1205" s="1">
        <v>45595</v>
      </c>
      <c r="C1205" t="s">
        <v>2314</v>
      </c>
      <c r="D1205" t="s">
        <v>30</v>
      </c>
      <c r="E1205" t="s">
        <v>59</v>
      </c>
      <c r="F1205" t="s">
        <v>60</v>
      </c>
      <c r="G1205" t="s">
        <v>69</v>
      </c>
      <c r="H1205" t="s">
        <v>139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t="s">
        <v>34</v>
      </c>
    </row>
    <row r="1206" spans="1:15" x14ac:dyDescent="0.35">
      <c r="A1206" t="s">
        <v>2315</v>
      </c>
      <c r="B1206" s="1">
        <v>45595</v>
      </c>
      <c r="C1206" t="s">
        <v>2316</v>
      </c>
      <c r="D1206" t="s">
        <v>30</v>
      </c>
      <c r="E1206" t="s">
        <v>18</v>
      </c>
      <c r="F1206" t="s">
        <v>19</v>
      </c>
      <c r="G1206" t="s">
        <v>42</v>
      </c>
      <c r="H1206" t="s">
        <v>371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t="s">
        <v>22</v>
      </c>
    </row>
    <row r="1207" spans="1:15" x14ac:dyDescent="0.35">
      <c r="A1207" t="s">
        <v>2317</v>
      </c>
      <c r="B1207" s="1">
        <v>45595</v>
      </c>
      <c r="C1207" t="s">
        <v>2318</v>
      </c>
      <c r="D1207" t="s">
        <v>17</v>
      </c>
      <c r="E1207" t="s">
        <v>169</v>
      </c>
      <c r="F1207" t="s">
        <v>68</v>
      </c>
      <c r="G1207" t="s">
        <v>32</v>
      </c>
      <c r="H1207" t="s">
        <v>33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t="s">
        <v>39</v>
      </c>
    </row>
    <row r="1208" spans="1:15" x14ac:dyDescent="0.35">
      <c r="A1208" t="s">
        <v>2319</v>
      </c>
      <c r="B1208" s="1">
        <v>45596</v>
      </c>
      <c r="C1208" t="s">
        <v>2320</v>
      </c>
      <c r="D1208" t="s">
        <v>17</v>
      </c>
      <c r="E1208" t="s">
        <v>18</v>
      </c>
      <c r="F1208" t="s">
        <v>19</v>
      </c>
      <c r="G1208" t="s">
        <v>42</v>
      </c>
      <c r="H1208" t="s">
        <v>43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t="s">
        <v>34</v>
      </c>
    </row>
    <row r="1209" spans="1:15" x14ac:dyDescent="0.35">
      <c r="A1209" t="s">
        <v>2321</v>
      </c>
      <c r="B1209" s="1">
        <v>45596</v>
      </c>
      <c r="C1209" t="s">
        <v>2322</v>
      </c>
      <c r="D1209" t="s">
        <v>30</v>
      </c>
      <c r="E1209" t="s">
        <v>135</v>
      </c>
      <c r="F1209" t="s">
        <v>26</v>
      </c>
      <c r="G1209" t="s">
        <v>69</v>
      </c>
      <c r="H1209" t="s">
        <v>305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t="s">
        <v>56</v>
      </c>
    </row>
    <row r="1210" spans="1:15" x14ac:dyDescent="0.35">
      <c r="A1210" t="s">
        <v>2323</v>
      </c>
      <c r="B1210" s="1">
        <v>45596</v>
      </c>
      <c r="C1210" t="s">
        <v>2324</v>
      </c>
      <c r="D1210" t="s">
        <v>30</v>
      </c>
      <c r="E1210" t="s">
        <v>25</v>
      </c>
      <c r="F1210" t="s">
        <v>26</v>
      </c>
      <c r="G1210" t="s">
        <v>32</v>
      </c>
      <c r="H1210" t="s">
        <v>110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t="s">
        <v>22</v>
      </c>
    </row>
    <row r="1211" spans="1:15" x14ac:dyDescent="0.35">
      <c r="A1211" t="s">
        <v>2325</v>
      </c>
      <c r="B1211" s="1">
        <v>45596</v>
      </c>
      <c r="C1211" t="s">
        <v>2326</v>
      </c>
      <c r="D1211" t="s">
        <v>49</v>
      </c>
      <c r="E1211" t="s">
        <v>92</v>
      </c>
      <c r="F1211" t="s">
        <v>60</v>
      </c>
      <c r="G1211" t="s">
        <v>42</v>
      </c>
      <c r="H1211" t="s">
        <v>118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t="s">
        <v>34</v>
      </c>
    </row>
    <row r="1212" spans="1:15" x14ac:dyDescent="0.35">
      <c r="A1212" t="s">
        <v>2327</v>
      </c>
      <c r="B1212" s="1">
        <v>45596</v>
      </c>
      <c r="C1212" t="s">
        <v>368</v>
      </c>
      <c r="D1212" t="s">
        <v>17</v>
      </c>
      <c r="E1212" t="s">
        <v>109</v>
      </c>
      <c r="F1212" t="s">
        <v>54</v>
      </c>
      <c r="G1212" t="s">
        <v>69</v>
      </c>
      <c r="H1212" t="s">
        <v>163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t="s">
        <v>39</v>
      </c>
    </row>
    <row r="1213" spans="1:15" x14ac:dyDescent="0.35">
      <c r="A1213" t="s">
        <v>2328</v>
      </c>
      <c r="B1213" s="1">
        <v>45596</v>
      </c>
      <c r="C1213" t="s">
        <v>2329</v>
      </c>
      <c r="D1213" t="s">
        <v>49</v>
      </c>
      <c r="E1213" t="s">
        <v>138</v>
      </c>
      <c r="F1213" t="s">
        <v>54</v>
      </c>
      <c r="G1213" t="s">
        <v>32</v>
      </c>
      <c r="H1213" t="s">
        <v>115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t="s">
        <v>39</v>
      </c>
    </row>
    <row r="1214" spans="1:15" x14ac:dyDescent="0.35">
      <c r="A1214" t="s">
        <v>2330</v>
      </c>
      <c r="B1214" s="1">
        <v>45597</v>
      </c>
      <c r="C1214" t="s">
        <v>2331</v>
      </c>
      <c r="D1214" t="s">
        <v>30</v>
      </c>
      <c r="E1214" t="s">
        <v>76</v>
      </c>
      <c r="F1214" t="s">
        <v>26</v>
      </c>
      <c r="G1214" t="s">
        <v>32</v>
      </c>
      <c r="H1214" t="s">
        <v>348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t="s">
        <v>39</v>
      </c>
    </row>
    <row r="1215" spans="1:15" x14ac:dyDescent="0.35">
      <c r="A1215" t="s">
        <v>2332</v>
      </c>
      <c r="B1215" s="1">
        <v>45598</v>
      </c>
      <c r="C1215" t="s">
        <v>1084</v>
      </c>
      <c r="D1215" t="s">
        <v>30</v>
      </c>
      <c r="E1215" t="s">
        <v>166</v>
      </c>
      <c r="F1215" t="s">
        <v>60</v>
      </c>
      <c r="G1215" t="s">
        <v>42</v>
      </c>
      <c r="H1215" t="s">
        <v>118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t="s">
        <v>39</v>
      </c>
    </row>
    <row r="1216" spans="1:15" x14ac:dyDescent="0.35">
      <c r="A1216" t="s">
        <v>2333</v>
      </c>
      <c r="B1216" s="1">
        <v>45598</v>
      </c>
      <c r="C1216" t="s">
        <v>2320</v>
      </c>
      <c r="D1216" t="s">
        <v>30</v>
      </c>
      <c r="E1216" t="s">
        <v>248</v>
      </c>
      <c r="F1216" t="s">
        <v>26</v>
      </c>
      <c r="G1216" t="s">
        <v>20</v>
      </c>
      <c r="H1216" t="s">
        <v>27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t="s">
        <v>39</v>
      </c>
    </row>
    <row r="1217" spans="1:15" x14ac:dyDescent="0.35">
      <c r="A1217" t="s">
        <v>2334</v>
      </c>
      <c r="B1217" s="1">
        <v>45601</v>
      </c>
      <c r="C1217" t="s">
        <v>2335</v>
      </c>
      <c r="D1217" t="s">
        <v>30</v>
      </c>
      <c r="E1217" t="s">
        <v>129</v>
      </c>
      <c r="F1217" t="s">
        <v>19</v>
      </c>
      <c r="G1217" t="s">
        <v>42</v>
      </c>
      <c r="H1217" t="s">
        <v>46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t="s">
        <v>22</v>
      </c>
    </row>
    <row r="1218" spans="1:15" x14ac:dyDescent="0.35">
      <c r="A1218" t="s">
        <v>2336</v>
      </c>
      <c r="B1218" s="1">
        <v>45601</v>
      </c>
      <c r="C1218" t="s">
        <v>2337</v>
      </c>
      <c r="D1218" t="s">
        <v>30</v>
      </c>
      <c r="E1218" t="s">
        <v>166</v>
      </c>
      <c r="F1218" t="s">
        <v>60</v>
      </c>
      <c r="G1218" t="s">
        <v>42</v>
      </c>
      <c r="H1218" t="s">
        <v>118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t="s">
        <v>22</v>
      </c>
    </row>
    <row r="1219" spans="1:15" x14ac:dyDescent="0.35">
      <c r="A1219" t="s">
        <v>2338</v>
      </c>
      <c r="B1219" s="1">
        <v>45601</v>
      </c>
      <c r="C1219" t="s">
        <v>946</v>
      </c>
      <c r="D1219" t="s">
        <v>49</v>
      </c>
      <c r="E1219" t="s">
        <v>85</v>
      </c>
      <c r="F1219" t="s">
        <v>60</v>
      </c>
      <c r="G1219" t="s">
        <v>69</v>
      </c>
      <c r="H1219" t="s">
        <v>79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t="s">
        <v>22</v>
      </c>
    </row>
    <row r="1220" spans="1:15" x14ac:dyDescent="0.35">
      <c r="A1220" t="s">
        <v>2339</v>
      </c>
      <c r="B1220" s="1">
        <v>45601</v>
      </c>
      <c r="C1220" t="s">
        <v>2340</v>
      </c>
      <c r="D1220" t="s">
        <v>17</v>
      </c>
      <c r="E1220" t="s">
        <v>76</v>
      </c>
      <c r="F1220" t="s">
        <v>26</v>
      </c>
      <c r="G1220" t="s">
        <v>42</v>
      </c>
      <c r="H1220" t="s">
        <v>234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t="s">
        <v>22</v>
      </c>
    </row>
    <row r="1221" spans="1:15" x14ac:dyDescent="0.35">
      <c r="A1221" t="s">
        <v>2341</v>
      </c>
      <c r="B1221" s="1">
        <v>45601</v>
      </c>
      <c r="C1221" t="s">
        <v>2342</v>
      </c>
      <c r="D1221" t="s">
        <v>49</v>
      </c>
      <c r="E1221" t="s">
        <v>129</v>
      </c>
      <c r="F1221" t="s">
        <v>19</v>
      </c>
      <c r="G1221" t="s">
        <v>20</v>
      </c>
      <c r="H1221" t="s">
        <v>55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t="s">
        <v>56</v>
      </c>
    </row>
    <row r="1222" spans="1:15" x14ac:dyDescent="0.35">
      <c r="A1222" t="s">
        <v>2343</v>
      </c>
      <c r="B1222" s="1">
        <v>45602</v>
      </c>
      <c r="C1222" t="s">
        <v>2344</v>
      </c>
      <c r="D1222" t="s">
        <v>30</v>
      </c>
      <c r="E1222" t="s">
        <v>59</v>
      </c>
      <c r="F1222" t="s">
        <v>60</v>
      </c>
      <c r="G1222" t="s">
        <v>42</v>
      </c>
      <c r="H1222" t="s">
        <v>89</v>
      </c>
      <c r="I1222">
        <v>9</v>
      </c>
      <c r="J1222">
        <v>215.11</v>
      </c>
      <c r="K1222">
        <v>15</v>
      </c>
      <c r="L1222">
        <v>1645.59</v>
      </c>
      <c r="M1222">
        <v>23.4</v>
      </c>
      <c r="N1222">
        <v>460.6</v>
      </c>
      <c r="O1222" t="s">
        <v>39</v>
      </c>
    </row>
    <row r="1223" spans="1:15" x14ac:dyDescent="0.35">
      <c r="A1223" t="s">
        <v>2345</v>
      </c>
      <c r="B1223" s="1">
        <v>45603</v>
      </c>
      <c r="C1223" t="s">
        <v>2346</v>
      </c>
      <c r="D1223" t="s">
        <v>17</v>
      </c>
      <c r="E1223" t="s">
        <v>18</v>
      </c>
      <c r="F1223" t="s">
        <v>19</v>
      </c>
      <c r="G1223" t="s">
        <v>20</v>
      </c>
      <c r="H1223" t="s">
        <v>27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t="s">
        <v>22</v>
      </c>
    </row>
    <row r="1224" spans="1:15" x14ac:dyDescent="0.35">
      <c r="A1224" t="s">
        <v>2347</v>
      </c>
      <c r="B1224" s="1">
        <v>45603</v>
      </c>
      <c r="C1224" t="s">
        <v>2348</v>
      </c>
      <c r="D1224" t="s">
        <v>17</v>
      </c>
      <c r="E1224" t="s">
        <v>135</v>
      </c>
      <c r="F1224" t="s">
        <v>26</v>
      </c>
      <c r="G1224" t="s">
        <v>69</v>
      </c>
      <c r="H1224" t="s">
        <v>243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t="s">
        <v>34</v>
      </c>
    </row>
    <row r="1225" spans="1:15" x14ac:dyDescent="0.35">
      <c r="A1225" t="s">
        <v>2349</v>
      </c>
      <c r="B1225" s="1">
        <v>45603</v>
      </c>
      <c r="C1225" t="s">
        <v>2350</v>
      </c>
      <c r="D1225" t="s">
        <v>30</v>
      </c>
      <c r="E1225" t="s">
        <v>248</v>
      </c>
      <c r="F1225" t="s">
        <v>26</v>
      </c>
      <c r="G1225" t="s">
        <v>32</v>
      </c>
      <c r="H1225" t="s">
        <v>50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t="s">
        <v>39</v>
      </c>
    </row>
    <row r="1226" spans="1:15" x14ac:dyDescent="0.35">
      <c r="A1226" t="s">
        <v>2351</v>
      </c>
      <c r="B1226" s="1">
        <v>45604</v>
      </c>
      <c r="C1226" t="s">
        <v>2352</v>
      </c>
      <c r="D1226" t="s">
        <v>30</v>
      </c>
      <c r="E1226" t="s">
        <v>18</v>
      </c>
      <c r="F1226" t="s">
        <v>19</v>
      </c>
      <c r="G1226" t="s">
        <v>32</v>
      </c>
      <c r="H1226" t="s">
        <v>348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t="s">
        <v>39</v>
      </c>
    </row>
    <row r="1227" spans="1:15" x14ac:dyDescent="0.35">
      <c r="A1227" t="s">
        <v>2353</v>
      </c>
      <c r="B1227" s="1">
        <v>45605</v>
      </c>
      <c r="C1227" t="s">
        <v>2354</v>
      </c>
      <c r="D1227" t="s">
        <v>30</v>
      </c>
      <c r="E1227" t="s">
        <v>67</v>
      </c>
      <c r="F1227" t="s">
        <v>68</v>
      </c>
      <c r="G1227" t="s">
        <v>42</v>
      </c>
      <c r="H1227" t="s">
        <v>234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t="s">
        <v>56</v>
      </c>
    </row>
    <row r="1228" spans="1:15" x14ac:dyDescent="0.35">
      <c r="A1228" t="s">
        <v>2355</v>
      </c>
      <c r="B1228" s="1">
        <v>45605</v>
      </c>
      <c r="C1228" t="s">
        <v>2356</v>
      </c>
      <c r="D1228" t="s">
        <v>49</v>
      </c>
      <c r="E1228" t="s">
        <v>59</v>
      </c>
      <c r="F1228" t="s">
        <v>60</v>
      </c>
      <c r="G1228" t="s">
        <v>42</v>
      </c>
      <c r="H1228" t="s">
        <v>371</v>
      </c>
      <c r="I1228">
        <v>8</v>
      </c>
      <c r="J1228">
        <v>171.68</v>
      </c>
      <c r="K1228">
        <v>10</v>
      </c>
      <c r="L1228">
        <v>1236.0999999999999</v>
      </c>
      <c r="M1228">
        <v>16.97</v>
      </c>
      <c r="N1228">
        <v>395.07</v>
      </c>
      <c r="O1228" t="s">
        <v>39</v>
      </c>
    </row>
    <row r="1229" spans="1:15" x14ac:dyDescent="0.35">
      <c r="A1229" t="s">
        <v>2357</v>
      </c>
      <c r="B1229" s="1">
        <v>45605</v>
      </c>
      <c r="C1229" t="s">
        <v>2358</v>
      </c>
      <c r="D1229" t="s">
        <v>30</v>
      </c>
      <c r="E1229" t="s">
        <v>121</v>
      </c>
      <c r="F1229" t="s">
        <v>68</v>
      </c>
      <c r="G1229" t="s">
        <v>42</v>
      </c>
      <c r="H1229" t="s">
        <v>294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t="s">
        <v>56</v>
      </c>
    </row>
    <row r="1230" spans="1:15" x14ac:dyDescent="0.35">
      <c r="A1230" t="s">
        <v>2359</v>
      </c>
      <c r="B1230" s="1">
        <v>45605</v>
      </c>
      <c r="C1230" t="s">
        <v>2360</v>
      </c>
      <c r="D1230" t="s">
        <v>30</v>
      </c>
      <c r="E1230" t="s">
        <v>129</v>
      </c>
      <c r="F1230" t="s">
        <v>19</v>
      </c>
      <c r="G1230" t="s">
        <v>69</v>
      </c>
      <c r="H1230" t="s">
        <v>163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t="s">
        <v>34</v>
      </c>
    </row>
    <row r="1231" spans="1:15" x14ac:dyDescent="0.35">
      <c r="A1231" t="s">
        <v>2361</v>
      </c>
      <c r="B1231" s="1">
        <v>45605</v>
      </c>
      <c r="C1231" t="s">
        <v>2362</v>
      </c>
      <c r="D1231" t="s">
        <v>30</v>
      </c>
      <c r="E1231" t="s">
        <v>37</v>
      </c>
      <c r="F1231" t="s">
        <v>26</v>
      </c>
      <c r="G1231" t="s">
        <v>69</v>
      </c>
      <c r="H1231" t="s">
        <v>70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t="s">
        <v>39</v>
      </c>
    </row>
    <row r="1232" spans="1:15" x14ac:dyDescent="0.35">
      <c r="A1232" t="s">
        <v>2363</v>
      </c>
      <c r="B1232" s="1">
        <v>45605</v>
      </c>
      <c r="C1232" t="s">
        <v>2364</v>
      </c>
      <c r="D1232" t="s">
        <v>30</v>
      </c>
      <c r="E1232" t="s">
        <v>85</v>
      </c>
      <c r="F1232" t="s">
        <v>60</v>
      </c>
      <c r="G1232" t="s">
        <v>32</v>
      </c>
      <c r="H1232" t="s">
        <v>73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t="s">
        <v>34</v>
      </c>
    </row>
    <row r="1233" spans="1:15" x14ac:dyDescent="0.35">
      <c r="A1233" t="s">
        <v>2365</v>
      </c>
      <c r="B1233" s="1">
        <v>45606</v>
      </c>
      <c r="C1233" t="s">
        <v>2366</v>
      </c>
      <c r="D1233" t="s">
        <v>49</v>
      </c>
      <c r="E1233" t="s">
        <v>31</v>
      </c>
      <c r="F1233" t="s">
        <v>19</v>
      </c>
      <c r="G1233" t="s">
        <v>20</v>
      </c>
      <c r="H1233" t="s">
        <v>38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t="s">
        <v>34</v>
      </c>
    </row>
    <row r="1234" spans="1:15" x14ac:dyDescent="0.35">
      <c r="A1234" t="s">
        <v>2367</v>
      </c>
      <c r="B1234" s="1">
        <v>45609</v>
      </c>
      <c r="C1234" t="s">
        <v>2368</v>
      </c>
      <c r="D1234" t="s">
        <v>17</v>
      </c>
      <c r="E1234" t="s">
        <v>85</v>
      </c>
      <c r="F1234" t="s">
        <v>60</v>
      </c>
      <c r="G1234" t="s">
        <v>42</v>
      </c>
      <c r="H1234" t="s">
        <v>93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t="s">
        <v>56</v>
      </c>
    </row>
    <row r="1235" spans="1:15" x14ac:dyDescent="0.35">
      <c r="A1235" t="s">
        <v>2369</v>
      </c>
      <c r="B1235" s="1">
        <v>45609</v>
      </c>
      <c r="C1235" t="s">
        <v>2370</v>
      </c>
      <c r="D1235" t="s">
        <v>30</v>
      </c>
      <c r="E1235" t="s">
        <v>135</v>
      </c>
      <c r="F1235" t="s">
        <v>26</v>
      </c>
      <c r="G1235" t="s">
        <v>20</v>
      </c>
      <c r="H1235" t="s">
        <v>106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t="s">
        <v>39</v>
      </c>
    </row>
    <row r="1236" spans="1:15" x14ac:dyDescent="0.35">
      <c r="A1236" t="s">
        <v>2371</v>
      </c>
      <c r="B1236" s="1">
        <v>45610</v>
      </c>
      <c r="C1236" t="s">
        <v>2230</v>
      </c>
      <c r="D1236" t="s">
        <v>49</v>
      </c>
      <c r="E1236" t="s">
        <v>18</v>
      </c>
      <c r="F1236" t="s">
        <v>19</v>
      </c>
      <c r="G1236" t="s">
        <v>20</v>
      </c>
      <c r="H1236" t="s">
        <v>55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t="s">
        <v>39</v>
      </c>
    </row>
    <row r="1237" spans="1:15" x14ac:dyDescent="0.35">
      <c r="A1237" t="s">
        <v>2372</v>
      </c>
      <c r="B1237" s="1">
        <v>45611</v>
      </c>
      <c r="C1237" t="s">
        <v>2373</v>
      </c>
      <c r="D1237" t="s">
        <v>49</v>
      </c>
      <c r="E1237" t="s">
        <v>248</v>
      </c>
      <c r="F1237" t="s">
        <v>26</v>
      </c>
      <c r="G1237" t="s">
        <v>20</v>
      </c>
      <c r="H1237" t="s">
        <v>264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t="s">
        <v>34</v>
      </c>
    </row>
    <row r="1238" spans="1:15" x14ac:dyDescent="0.35">
      <c r="A1238" t="s">
        <v>2374</v>
      </c>
      <c r="B1238" s="1">
        <v>45612</v>
      </c>
      <c r="C1238" t="s">
        <v>2375</v>
      </c>
      <c r="D1238" t="s">
        <v>30</v>
      </c>
      <c r="E1238" t="s">
        <v>18</v>
      </c>
      <c r="F1238" t="s">
        <v>19</v>
      </c>
      <c r="G1238" t="s">
        <v>69</v>
      </c>
      <c r="H1238" t="s">
        <v>86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t="s">
        <v>34</v>
      </c>
    </row>
    <row r="1239" spans="1:15" x14ac:dyDescent="0.35">
      <c r="A1239" t="s">
        <v>2376</v>
      </c>
      <c r="B1239" s="1">
        <v>45612</v>
      </c>
      <c r="C1239" t="s">
        <v>1993</v>
      </c>
      <c r="D1239" t="s">
        <v>17</v>
      </c>
      <c r="E1239" t="s">
        <v>31</v>
      </c>
      <c r="F1239" t="s">
        <v>19</v>
      </c>
      <c r="G1239" t="s">
        <v>32</v>
      </c>
      <c r="H1239" t="s">
        <v>110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t="s">
        <v>56</v>
      </c>
    </row>
    <row r="1240" spans="1:15" x14ac:dyDescent="0.35">
      <c r="A1240" t="s">
        <v>2377</v>
      </c>
      <c r="B1240" s="1">
        <v>45613</v>
      </c>
      <c r="C1240" t="s">
        <v>2378</v>
      </c>
      <c r="D1240" t="s">
        <v>30</v>
      </c>
      <c r="E1240" t="s">
        <v>85</v>
      </c>
      <c r="F1240" t="s">
        <v>60</v>
      </c>
      <c r="G1240" t="s">
        <v>20</v>
      </c>
      <c r="H1240" t="s">
        <v>199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t="s">
        <v>34</v>
      </c>
    </row>
    <row r="1241" spans="1:15" x14ac:dyDescent="0.35">
      <c r="A1241" t="s">
        <v>2379</v>
      </c>
      <c r="B1241" s="1">
        <v>45613</v>
      </c>
      <c r="C1241" t="s">
        <v>2380</v>
      </c>
      <c r="D1241" t="s">
        <v>30</v>
      </c>
      <c r="E1241" t="s">
        <v>248</v>
      </c>
      <c r="F1241" t="s">
        <v>26</v>
      </c>
      <c r="G1241" t="s">
        <v>32</v>
      </c>
      <c r="H1241" t="s">
        <v>132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t="s">
        <v>39</v>
      </c>
    </row>
    <row r="1242" spans="1:15" x14ac:dyDescent="0.35">
      <c r="A1242" t="s">
        <v>2381</v>
      </c>
      <c r="B1242" s="1">
        <v>45613</v>
      </c>
      <c r="C1242" t="s">
        <v>2382</v>
      </c>
      <c r="D1242" t="s">
        <v>17</v>
      </c>
      <c r="E1242" t="s">
        <v>18</v>
      </c>
      <c r="F1242" t="s">
        <v>19</v>
      </c>
      <c r="G1242" t="s">
        <v>32</v>
      </c>
      <c r="H1242" t="s">
        <v>115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t="s">
        <v>34</v>
      </c>
    </row>
    <row r="1243" spans="1:15" x14ac:dyDescent="0.35">
      <c r="A1243" t="s">
        <v>2383</v>
      </c>
      <c r="B1243" s="1">
        <v>45613</v>
      </c>
      <c r="C1243" t="s">
        <v>2384</v>
      </c>
      <c r="D1243" t="s">
        <v>30</v>
      </c>
      <c r="E1243" t="s">
        <v>248</v>
      </c>
      <c r="F1243" t="s">
        <v>26</v>
      </c>
      <c r="G1243" t="s">
        <v>69</v>
      </c>
      <c r="H1243" t="s">
        <v>98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t="s">
        <v>34</v>
      </c>
    </row>
    <row r="1244" spans="1:15" x14ac:dyDescent="0.35">
      <c r="A1244" t="s">
        <v>2385</v>
      </c>
      <c r="B1244" s="1">
        <v>45613</v>
      </c>
      <c r="C1244" t="s">
        <v>2386</v>
      </c>
      <c r="D1244" t="s">
        <v>30</v>
      </c>
      <c r="E1244" t="s">
        <v>92</v>
      </c>
      <c r="F1244" t="s">
        <v>60</v>
      </c>
      <c r="G1244" t="s">
        <v>32</v>
      </c>
      <c r="H1244" t="s">
        <v>149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t="s">
        <v>39</v>
      </c>
    </row>
    <row r="1245" spans="1:15" x14ac:dyDescent="0.35">
      <c r="A1245" t="s">
        <v>2387</v>
      </c>
      <c r="B1245" s="1">
        <v>45614</v>
      </c>
      <c r="C1245" t="s">
        <v>2388</v>
      </c>
      <c r="D1245" t="s">
        <v>49</v>
      </c>
      <c r="E1245" t="s">
        <v>18</v>
      </c>
      <c r="F1245" t="s">
        <v>19</v>
      </c>
      <c r="G1245" t="s">
        <v>42</v>
      </c>
      <c r="H1245" t="s">
        <v>234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t="s">
        <v>56</v>
      </c>
    </row>
    <row r="1246" spans="1:15" x14ac:dyDescent="0.35">
      <c r="A1246" t="s">
        <v>2389</v>
      </c>
      <c r="B1246" s="1">
        <v>45615</v>
      </c>
      <c r="C1246" t="s">
        <v>2390</v>
      </c>
      <c r="D1246" t="s">
        <v>30</v>
      </c>
      <c r="E1246" t="s">
        <v>92</v>
      </c>
      <c r="F1246" t="s">
        <v>60</v>
      </c>
      <c r="G1246" t="s">
        <v>20</v>
      </c>
      <c r="H1246" t="s">
        <v>38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t="s">
        <v>22</v>
      </c>
    </row>
    <row r="1247" spans="1:15" x14ac:dyDescent="0.35">
      <c r="A1247" t="s">
        <v>2391</v>
      </c>
      <c r="B1247" s="1">
        <v>45616</v>
      </c>
      <c r="C1247" t="s">
        <v>655</v>
      </c>
      <c r="D1247" t="s">
        <v>17</v>
      </c>
      <c r="E1247" t="s">
        <v>18</v>
      </c>
      <c r="F1247" t="s">
        <v>19</v>
      </c>
      <c r="G1247" t="s">
        <v>20</v>
      </c>
      <c r="H1247" t="s">
        <v>264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t="s">
        <v>34</v>
      </c>
    </row>
    <row r="1248" spans="1:15" x14ac:dyDescent="0.35">
      <c r="A1248" t="s">
        <v>2392</v>
      </c>
      <c r="B1248" s="1">
        <v>45616</v>
      </c>
      <c r="C1248" t="s">
        <v>2393</v>
      </c>
      <c r="D1248" t="s">
        <v>30</v>
      </c>
      <c r="E1248" t="s">
        <v>92</v>
      </c>
      <c r="F1248" t="s">
        <v>60</v>
      </c>
      <c r="G1248" t="s">
        <v>32</v>
      </c>
      <c r="H1248" t="s">
        <v>50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t="s">
        <v>22</v>
      </c>
    </row>
    <row r="1249" spans="1:15" x14ac:dyDescent="0.35">
      <c r="A1249" t="s">
        <v>2394</v>
      </c>
      <c r="B1249" s="1">
        <v>45617</v>
      </c>
      <c r="C1249" t="s">
        <v>2254</v>
      </c>
      <c r="D1249" t="s">
        <v>30</v>
      </c>
      <c r="E1249" t="s">
        <v>248</v>
      </c>
      <c r="F1249" t="s">
        <v>26</v>
      </c>
      <c r="G1249" t="s">
        <v>20</v>
      </c>
      <c r="H1249" t="s">
        <v>264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t="s">
        <v>34</v>
      </c>
    </row>
    <row r="1250" spans="1:15" x14ac:dyDescent="0.35">
      <c r="A1250" t="s">
        <v>2395</v>
      </c>
      <c r="B1250" s="1">
        <v>45617</v>
      </c>
      <c r="C1250" t="s">
        <v>2396</v>
      </c>
      <c r="D1250" t="s">
        <v>30</v>
      </c>
      <c r="E1250" t="s">
        <v>59</v>
      </c>
      <c r="F1250" t="s">
        <v>60</v>
      </c>
      <c r="G1250" t="s">
        <v>69</v>
      </c>
      <c r="H1250" t="s">
        <v>243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t="s">
        <v>39</v>
      </c>
    </row>
    <row r="1251" spans="1:15" x14ac:dyDescent="0.35">
      <c r="A1251" t="s">
        <v>2397</v>
      </c>
      <c r="B1251" s="1">
        <v>45617</v>
      </c>
      <c r="C1251" t="s">
        <v>309</v>
      </c>
      <c r="D1251" t="s">
        <v>17</v>
      </c>
      <c r="E1251" t="s">
        <v>138</v>
      </c>
      <c r="F1251" t="s">
        <v>54</v>
      </c>
      <c r="G1251" t="s">
        <v>42</v>
      </c>
      <c r="H1251" t="s">
        <v>43</v>
      </c>
      <c r="I1251">
        <v>5</v>
      </c>
      <c r="J1251">
        <v>239.49</v>
      </c>
      <c r="K1251">
        <v>5</v>
      </c>
      <c r="L1251">
        <v>1137.58</v>
      </c>
      <c r="M1251">
        <v>17.88</v>
      </c>
      <c r="N1251">
        <v>401.23</v>
      </c>
      <c r="O1251" t="s">
        <v>39</v>
      </c>
    </row>
    <row r="1252" spans="1:15" x14ac:dyDescent="0.35">
      <c r="A1252" t="s">
        <v>2398</v>
      </c>
      <c r="B1252" s="1">
        <v>45617</v>
      </c>
      <c r="C1252" t="s">
        <v>2399</v>
      </c>
      <c r="D1252" t="s">
        <v>17</v>
      </c>
      <c r="E1252" t="s">
        <v>18</v>
      </c>
      <c r="F1252" t="s">
        <v>19</v>
      </c>
      <c r="G1252" t="s">
        <v>32</v>
      </c>
      <c r="H1252" t="s">
        <v>73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t="s">
        <v>39</v>
      </c>
    </row>
    <row r="1253" spans="1:15" x14ac:dyDescent="0.35">
      <c r="A1253" t="s">
        <v>2400</v>
      </c>
      <c r="B1253" s="1">
        <v>45617</v>
      </c>
      <c r="C1253" t="s">
        <v>2401</v>
      </c>
      <c r="D1253" t="s">
        <v>49</v>
      </c>
      <c r="E1253" t="s">
        <v>25</v>
      </c>
      <c r="F1253" t="s">
        <v>26</v>
      </c>
      <c r="G1253" t="s">
        <v>69</v>
      </c>
      <c r="H1253" t="s">
        <v>86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t="s">
        <v>34</v>
      </c>
    </row>
    <row r="1254" spans="1:15" x14ac:dyDescent="0.35">
      <c r="A1254" t="s">
        <v>2402</v>
      </c>
      <c r="B1254" s="1">
        <v>45618</v>
      </c>
      <c r="C1254" t="s">
        <v>2403</v>
      </c>
      <c r="D1254" t="s">
        <v>30</v>
      </c>
      <c r="E1254" t="s">
        <v>76</v>
      </c>
      <c r="F1254" t="s">
        <v>26</v>
      </c>
      <c r="G1254" t="s">
        <v>20</v>
      </c>
      <c r="H1254" t="s">
        <v>106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t="s">
        <v>34</v>
      </c>
    </row>
    <row r="1255" spans="1:15" x14ac:dyDescent="0.35">
      <c r="A1255" t="s">
        <v>2404</v>
      </c>
      <c r="B1255" s="1">
        <v>45618</v>
      </c>
      <c r="C1255" t="s">
        <v>1404</v>
      </c>
      <c r="D1255" t="s">
        <v>30</v>
      </c>
      <c r="E1255" t="s">
        <v>37</v>
      </c>
      <c r="F1255" t="s">
        <v>26</v>
      </c>
      <c r="G1255" t="s">
        <v>42</v>
      </c>
      <c r="H1255" t="s">
        <v>294</v>
      </c>
      <c r="I1255">
        <v>6</v>
      </c>
      <c r="J1255">
        <v>259.75</v>
      </c>
      <c r="K1255">
        <v>0</v>
      </c>
      <c r="L1255">
        <v>1558.5</v>
      </c>
      <c r="M1255">
        <v>10.69</v>
      </c>
      <c r="N1255">
        <v>612.71</v>
      </c>
      <c r="O1255" t="s">
        <v>34</v>
      </c>
    </row>
    <row r="1256" spans="1:15" x14ac:dyDescent="0.35">
      <c r="A1256" t="s">
        <v>2405</v>
      </c>
      <c r="B1256" s="1">
        <v>45620</v>
      </c>
      <c r="C1256" t="s">
        <v>2406</v>
      </c>
      <c r="D1256" t="s">
        <v>17</v>
      </c>
      <c r="E1256" t="s">
        <v>31</v>
      </c>
      <c r="F1256" t="s">
        <v>19</v>
      </c>
      <c r="G1256" t="s">
        <v>20</v>
      </c>
      <c r="H1256" t="s">
        <v>55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t="s">
        <v>56</v>
      </c>
    </row>
    <row r="1257" spans="1:15" x14ac:dyDescent="0.35">
      <c r="A1257" t="s">
        <v>2407</v>
      </c>
      <c r="B1257" s="1">
        <v>45620</v>
      </c>
      <c r="C1257" t="s">
        <v>485</v>
      </c>
      <c r="D1257" t="s">
        <v>30</v>
      </c>
      <c r="E1257" t="s">
        <v>31</v>
      </c>
      <c r="F1257" t="s">
        <v>19</v>
      </c>
      <c r="G1257" t="s">
        <v>32</v>
      </c>
      <c r="H1257" t="s">
        <v>115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t="s">
        <v>39</v>
      </c>
    </row>
    <row r="1258" spans="1:15" x14ac:dyDescent="0.35">
      <c r="A1258" t="s">
        <v>2408</v>
      </c>
      <c r="B1258" s="1">
        <v>45620</v>
      </c>
      <c r="C1258" t="s">
        <v>2409</v>
      </c>
      <c r="D1258" t="s">
        <v>30</v>
      </c>
      <c r="E1258" t="s">
        <v>37</v>
      </c>
      <c r="F1258" t="s">
        <v>26</v>
      </c>
      <c r="G1258" t="s">
        <v>32</v>
      </c>
      <c r="H1258" t="s">
        <v>110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t="s">
        <v>22</v>
      </c>
    </row>
    <row r="1259" spans="1:15" x14ac:dyDescent="0.35">
      <c r="A1259" t="s">
        <v>2410</v>
      </c>
      <c r="B1259" s="1">
        <v>45621</v>
      </c>
      <c r="C1259" t="s">
        <v>1188</v>
      </c>
      <c r="D1259" t="s">
        <v>30</v>
      </c>
      <c r="E1259" t="s">
        <v>129</v>
      </c>
      <c r="F1259" t="s">
        <v>19</v>
      </c>
      <c r="G1259" t="s">
        <v>69</v>
      </c>
      <c r="H1259" t="s">
        <v>243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t="s">
        <v>34</v>
      </c>
    </row>
    <row r="1260" spans="1:15" x14ac:dyDescent="0.35">
      <c r="A1260" t="s">
        <v>2411</v>
      </c>
      <c r="B1260" s="1">
        <v>45621</v>
      </c>
      <c r="C1260" t="s">
        <v>1066</v>
      </c>
      <c r="D1260" t="s">
        <v>30</v>
      </c>
      <c r="E1260" t="s">
        <v>92</v>
      </c>
      <c r="F1260" t="s">
        <v>60</v>
      </c>
      <c r="G1260" t="s">
        <v>69</v>
      </c>
      <c r="H1260" t="s">
        <v>79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t="s">
        <v>39</v>
      </c>
    </row>
    <row r="1261" spans="1:15" x14ac:dyDescent="0.35">
      <c r="A1261" t="s">
        <v>2412</v>
      </c>
      <c r="B1261" s="1">
        <v>45622</v>
      </c>
      <c r="C1261" t="s">
        <v>2413</v>
      </c>
      <c r="D1261" t="s">
        <v>30</v>
      </c>
      <c r="E1261" t="s">
        <v>166</v>
      </c>
      <c r="F1261" t="s">
        <v>60</v>
      </c>
      <c r="G1261" t="s">
        <v>42</v>
      </c>
      <c r="H1261" t="s">
        <v>46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t="s">
        <v>39</v>
      </c>
    </row>
    <row r="1262" spans="1:15" x14ac:dyDescent="0.35">
      <c r="A1262" t="s">
        <v>2414</v>
      </c>
      <c r="B1262" s="1">
        <v>45622</v>
      </c>
      <c r="C1262" t="s">
        <v>2415</v>
      </c>
      <c r="D1262" t="s">
        <v>49</v>
      </c>
      <c r="E1262" t="s">
        <v>31</v>
      </c>
      <c r="F1262" t="s">
        <v>19</v>
      </c>
      <c r="G1262" t="s">
        <v>32</v>
      </c>
      <c r="H1262" t="s">
        <v>33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t="s">
        <v>39</v>
      </c>
    </row>
    <row r="1263" spans="1:15" x14ac:dyDescent="0.35">
      <c r="A1263" t="s">
        <v>2416</v>
      </c>
      <c r="B1263" s="1">
        <v>45622</v>
      </c>
      <c r="C1263" t="s">
        <v>2417</v>
      </c>
      <c r="D1263" t="s">
        <v>17</v>
      </c>
      <c r="E1263" t="s">
        <v>248</v>
      </c>
      <c r="F1263" t="s">
        <v>26</v>
      </c>
      <c r="G1263" t="s">
        <v>32</v>
      </c>
      <c r="H1263" t="s">
        <v>50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t="s">
        <v>39</v>
      </c>
    </row>
    <row r="1264" spans="1:15" x14ac:dyDescent="0.35">
      <c r="A1264" t="s">
        <v>2418</v>
      </c>
      <c r="B1264" s="1">
        <v>45624</v>
      </c>
      <c r="C1264" t="s">
        <v>2419</v>
      </c>
      <c r="D1264" t="s">
        <v>49</v>
      </c>
      <c r="E1264" t="s">
        <v>18</v>
      </c>
      <c r="F1264" t="s">
        <v>19</v>
      </c>
      <c r="G1264" t="s">
        <v>32</v>
      </c>
      <c r="H1264" t="s">
        <v>101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t="s">
        <v>34</v>
      </c>
    </row>
    <row r="1265" spans="1:15" x14ac:dyDescent="0.35">
      <c r="A1265" t="s">
        <v>2420</v>
      </c>
      <c r="B1265" s="1">
        <v>45624</v>
      </c>
      <c r="C1265" t="s">
        <v>2421</v>
      </c>
      <c r="D1265" t="s">
        <v>49</v>
      </c>
      <c r="E1265" t="s">
        <v>121</v>
      </c>
      <c r="F1265" t="s">
        <v>68</v>
      </c>
      <c r="G1265" t="s">
        <v>32</v>
      </c>
      <c r="H1265" t="s">
        <v>101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t="s">
        <v>39</v>
      </c>
    </row>
    <row r="1266" spans="1:15" x14ac:dyDescent="0.35">
      <c r="A1266" t="s">
        <v>2422</v>
      </c>
      <c r="B1266" s="1">
        <v>45624</v>
      </c>
      <c r="C1266" t="s">
        <v>1797</v>
      </c>
      <c r="D1266" t="s">
        <v>17</v>
      </c>
      <c r="E1266" t="s">
        <v>76</v>
      </c>
      <c r="F1266" t="s">
        <v>26</v>
      </c>
      <c r="G1266" t="s">
        <v>69</v>
      </c>
      <c r="H1266" t="s">
        <v>163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t="s">
        <v>34</v>
      </c>
    </row>
    <row r="1267" spans="1:15" x14ac:dyDescent="0.35">
      <c r="A1267" t="s">
        <v>2423</v>
      </c>
      <c r="B1267" s="1">
        <v>45625</v>
      </c>
      <c r="C1267" t="s">
        <v>2424</v>
      </c>
      <c r="D1267" t="s">
        <v>30</v>
      </c>
      <c r="E1267" t="s">
        <v>25</v>
      </c>
      <c r="F1267" t="s">
        <v>26</v>
      </c>
      <c r="G1267" t="s">
        <v>20</v>
      </c>
      <c r="H1267" t="s">
        <v>106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t="s">
        <v>56</v>
      </c>
    </row>
    <row r="1268" spans="1:15" x14ac:dyDescent="0.35">
      <c r="A1268" t="s">
        <v>2425</v>
      </c>
      <c r="B1268" s="1">
        <v>45626</v>
      </c>
      <c r="C1268" t="s">
        <v>2426</v>
      </c>
      <c r="D1268" t="s">
        <v>17</v>
      </c>
      <c r="E1268" t="s">
        <v>31</v>
      </c>
      <c r="F1268" t="s">
        <v>19</v>
      </c>
      <c r="G1268" t="s">
        <v>69</v>
      </c>
      <c r="H1268" t="s">
        <v>160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t="s">
        <v>39</v>
      </c>
    </row>
    <row r="1269" spans="1:15" x14ac:dyDescent="0.35">
      <c r="A1269" t="s">
        <v>2427</v>
      </c>
      <c r="B1269" s="1">
        <v>45626</v>
      </c>
      <c r="C1269" t="s">
        <v>189</v>
      </c>
      <c r="D1269" t="s">
        <v>17</v>
      </c>
      <c r="E1269" t="s">
        <v>18</v>
      </c>
      <c r="F1269" t="s">
        <v>19</v>
      </c>
      <c r="G1269" t="s">
        <v>20</v>
      </c>
      <c r="H1269" t="s">
        <v>264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t="s">
        <v>39</v>
      </c>
    </row>
    <row r="1270" spans="1:15" x14ac:dyDescent="0.35">
      <c r="A1270" t="s">
        <v>2428</v>
      </c>
      <c r="B1270" s="1">
        <v>45626</v>
      </c>
      <c r="C1270" t="s">
        <v>2429</v>
      </c>
      <c r="D1270" t="s">
        <v>17</v>
      </c>
      <c r="E1270" t="s">
        <v>76</v>
      </c>
      <c r="F1270" t="s">
        <v>26</v>
      </c>
      <c r="G1270" t="s">
        <v>69</v>
      </c>
      <c r="H1270" t="s">
        <v>86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t="s">
        <v>39</v>
      </c>
    </row>
    <row r="1271" spans="1:15" x14ac:dyDescent="0.35">
      <c r="A1271" t="s">
        <v>2430</v>
      </c>
      <c r="B1271" s="1">
        <v>45626</v>
      </c>
      <c r="C1271" t="s">
        <v>617</v>
      </c>
      <c r="D1271" t="s">
        <v>30</v>
      </c>
      <c r="E1271" t="s">
        <v>31</v>
      </c>
      <c r="F1271" t="s">
        <v>19</v>
      </c>
      <c r="G1271" t="s">
        <v>42</v>
      </c>
      <c r="H1271" t="s">
        <v>294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t="s">
        <v>34</v>
      </c>
    </row>
    <row r="1272" spans="1:15" x14ac:dyDescent="0.35">
      <c r="A1272" t="s">
        <v>2431</v>
      </c>
      <c r="B1272" s="1">
        <v>45627</v>
      </c>
      <c r="C1272" t="s">
        <v>2432</v>
      </c>
      <c r="D1272" t="s">
        <v>30</v>
      </c>
      <c r="E1272" t="s">
        <v>67</v>
      </c>
      <c r="F1272" t="s">
        <v>68</v>
      </c>
      <c r="G1272" t="s">
        <v>20</v>
      </c>
      <c r="H1272" t="s">
        <v>122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t="s">
        <v>34</v>
      </c>
    </row>
    <row r="1273" spans="1:15" x14ac:dyDescent="0.35">
      <c r="A1273" t="s">
        <v>2433</v>
      </c>
      <c r="B1273" s="1">
        <v>45628</v>
      </c>
      <c r="C1273" t="s">
        <v>2434</v>
      </c>
      <c r="D1273" t="s">
        <v>17</v>
      </c>
      <c r="E1273" t="s">
        <v>135</v>
      </c>
      <c r="F1273" t="s">
        <v>26</v>
      </c>
      <c r="G1273" t="s">
        <v>20</v>
      </c>
      <c r="H1273" t="s">
        <v>264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t="s">
        <v>39</v>
      </c>
    </row>
    <row r="1274" spans="1:15" x14ac:dyDescent="0.35">
      <c r="A1274" t="s">
        <v>2435</v>
      </c>
      <c r="B1274" s="1">
        <v>45629</v>
      </c>
      <c r="C1274" t="s">
        <v>1928</v>
      </c>
      <c r="D1274" t="s">
        <v>30</v>
      </c>
      <c r="E1274" t="s">
        <v>76</v>
      </c>
      <c r="F1274" t="s">
        <v>26</v>
      </c>
      <c r="G1274" t="s">
        <v>69</v>
      </c>
      <c r="H1274" t="s">
        <v>243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t="s">
        <v>39</v>
      </c>
    </row>
    <row r="1275" spans="1:15" x14ac:dyDescent="0.35">
      <c r="A1275" t="s">
        <v>2436</v>
      </c>
      <c r="B1275" s="1">
        <v>45629</v>
      </c>
      <c r="C1275" t="s">
        <v>2437</v>
      </c>
      <c r="D1275" t="s">
        <v>17</v>
      </c>
      <c r="E1275" t="s">
        <v>169</v>
      </c>
      <c r="F1275" t="s">
        <v>68</v>
      </c>
      <c r="G1275" t="s">
        <v>42</v>
      </c>
      <c r="H1275" t="s">
        <v>89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t="s">
        <v>34</v>
      </c>
    </row>
    <row r="1276" spans="1:15" x14ac:dyDescent="0.35">
      <c r="A1276" t="s">
        <v>2438</v>
      </c>
      <c r="B1276" s="1">
        <v>45629</v>
      </c>
      <c r="C1276" t="s">
        <v>1540</v>
      </c>
      <c r="D1276" t="s">
        <v>49</v>
      </c>
      <c r="E1276" t="s">
        <v>31</v>
      </c>
      <c r="F1276" t="s">
        <v>19</v>
      </c>
      <c r="G1276" t="s">
        <v>69</v>
      </c>
      <c r="H1276" t="s">
        <v>160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t="s">
        <v>22</v>
      </c>
    </row>
    <row r="1277" spans="1:15" x14ac:dyDescent="0.35">
      <c r="A1277" t="s">
        <v>2439</v>
      </c>
      <c r="B1277" s="1">
        <v>45631</v>
      </c>
      <c r="C1277" t="s">
        <v>2440</v>
      </c>
      <c r="D1277" t="s">
        <v>30</v>
      </c>
      <c r="E1277" t="s">
        <v>85</v>
      </c>
      <c r="F1277" t="s">
        <v>60</v>
      </c>
      <c r="G1277" t="s">
        <v>32</v>
      </c>
      <c r="H1277" t="s">
        <v>132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t="s">
        <v>56</v>
      </c>
    </row>
    <row r="1278" spans="1:15" x14ac:dyDescent="0.35">
      <c r="A1278" t="s">
        <v>2441</v>
      </c>
      <c r="B1278" s="1">
        <v>45631</v>
      </c>
      <c r="C1278" t="s">
        <v>2442</v>
      </c>
      <c r="D1278" t="s">
        <v>17</v>
      </c>
      <c r="E1278" t="s">
        <v>129</v>
      </c>
      <c r="F1278" t="s">
        <v>19</v>
      </c>
      <c r="G1278" t="s">
        <v>42</v>
      </c>
      <c r="H1278" t="s">
        <v>43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t="s">
        <v>39</v>
      </c>
    </row>
    <row r="1279" spans="1:15" x14ac:dyDescent="0.35">
      <c r="A1279" t="s">
        <v>2443</v>
      </c>
      <c r="B1279" s="1">
        <v>45632</v>
      </c>
      <c r="C1279" t="s">
        <v>2444</v>
      </c>
      <c r="D1279" t="s">
        <v>17</v>
      </c>
      <c r="E1279" t="s">
        <v>85</v>
      </c>
      <c r="F1279" t="s">
        <v>60</v>
      </c>
      <c r="G1279" t="s">
        <v>32</v>
      </c>
      <c r="H1279" t="s">
        <v>115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t="s">
        <v>39</v>
      </c>
    </row>
    <row r="1280" spans="1:15" x14ac:dyDescent="0.35">
      <c r="A1280" t="s">
        <v>2445</v>
      </c>
      <c r="B1280" s="1">
        <v>45634</v>
      </c>
      <c r="C1280" t="s">
        <v>2446</v>
      </c>
      <c r="D1280" t="s">
        <v>17</v>
      </c>
      <c r="E1280" t="s">
        <v>129</v>
      </c>
      <c r="F1280" t="s">
        <v>19</v>
      </c>
      <c r="G1280" t="s">
        <v>69</v>
      </c>
      <c r="H1280" t="s">
        <v>139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t="s">
        <v>34</v>
      </c>
    </row>
    <row r="1281" spans="1:15" x14ac:dyDescent="0.35">
      <c r="A1281" t="s">
        <v>2447</v>
      </c>
      <c r="B1281" s="1">
        <v>45634</v>
      </c>
      <c r="C1281" t="s">
        <v>2448</v>
      </c>
      <c r="D1281" t="s">
        <v>17</v>
      </c>
      <c r="E1281" t="s">
        <v>248</v>
      </c>
      <c r="F1281" t="s">
        <v>26</v>
      </c>
      <c r="G1281" t="s">
        <v>69</v>
      </c>
      <c r="H1281" t="s">
        <v>243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t="s">
        <v>34</v>
      </c>
    </row>
    <row r="1282" spans="1:15" x14ac:dyDescent="0.35">
      <c r="A1282" t="s">
        <v>2449</v>
      </c>
      <c r="B1282" s="1">
        <v>45634</v>
      </c>
      <c r="C1282" t="s">
        <v>2450</v>
      </c>
      <c r="D1282" t="s">
        <v>30</v>
      </c>
      <c r="E1282" t="s">
        <v>18</v>
      </c>
      <c r="F1282" t="s">
        <v>19</v>
      </c>
      <c r="G1282" t="s">
        <v>32</v>
      </c>
      <c r="H1282" t="s">
        <v>132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t="s">
        <v>34</v>
      </c>
    </row>
    <row r="1283" spans="1:15" x14ac:dyDescent="0.35">
      <c r="A1283" t="s">
        <v>2451</v>
      </c>
      <c r="B1283" s="1">
        <v>45635</v>
      </c>
      <c r="C1283" t="s">
        <v>2452</v>
      </c>
      <c r="D1283" t="s">
        <v>30</v>
      </c>
      <c r="E1283" t="s">
        <v>129</v>
      </c>
      <c r="F1283" t="s">
        <v>19</v>
      </c>
      <c r="G1283" t="s">
        <v>20</v>
      </c>
      <c r="H1283" t="s">
        <v>27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t="s">
        <v>39</v>
      </c>
    </row>
    <row r="1284" spans="1:15" x14ac:dyDescent="0.35">
      <c r="A1284" t="s">
        <v>2453</v>
      </c>
      <c r="B1284" s="1">
        <v>45635</v>
      </c>
      <c r="C1284" t="s">
        <v>2454</v>
      </c>
      <c r="D1284" t="s">
        <v>49</v>
      </c>
      <c r="E1284" t="s">
        <v>148</v>
      </c>
      <c r="F1284" t="s">
        <v>60</v>
      </c>
      <c r="G1284" t="s">
        <v>20</v>
      </c>
      <c r="H1284" t="s">
        <v>106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t="s">
        <v>39</v>
      </c>
    </row>
    <row r="1285" spans="1:15" x14ac:dyDescent="0.35">
      <c r="A1285" t="s">
        <v>2455</v>
      </c>
      <c r="B1285" s="1">
        <v>45635</v>
      </c>
      <c r="C1285" t="s">
        <v>2244</v>
      </c>
      <c r="D1285" t="s">
        <v>30</v>
      </c>
      <c r="E1285" t="s">
        <v>129</v>
      </c>
      <c r="F1285" t="s">
        <v>19</v>
      </c>
      <c r="G1285" t="s">
        <v>69</v>
      </c>
      <c r="H1285" t="s">
        <v>305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t="s">
        <v>34</v>
      </c>
    </row>
    <row r="1286" spans="1:15" x14ac:dyDescent="0.35">
      <c r="A1286" t="s">
        <v>2456</v>
      </c>
      <c r="B1286" s="1">
        <v>45635</v>
      </c>
      <c r="C1286" t="s">
        <v>2457</v>
      </c>
      <c r="D1286" t="s">
        <v>30</v>
      </c>
      <c r="E1286" t="s">
        <v>109</v>
      </c>
      <c r="F1286" t="s">
        <v>54</v>
      </c>
      <c r="G1286" t="s">
        <v>69</v>
      </c>
      <c r="H1286" t="s">
        <v>305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t="s">
        <v>22</v>
      </c>
    </row>
    <row r="1287" spans="1:15" x14ac:dyDescent="0.35">
      <c r="A1287" t="s">
        <v>2458</v>
      </c>
      <c r="B1287" s="1">
        <v>45636</v>
      </c>
      <c r="C1287" t="s">
        <v>2459</v>
      </c>
      <c r="D1287" t="s">
        <v>30</v>
      </c>
      <c r="E1287" t="s">
        <v>59</v>
      </c>
      <c r="F1287" t="s">
        <v>60</v>
      </c>
      <c r="G1287" t="s">
        <v>32</v>
      </c>
      <c r="H1287" t="s">
        <v>101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t="s">
        <v>39</v>
      </c>
    </row>
    <row r="1288" spans="1:15" x14ac:dyDescent="0.35">
      <c r="A1288" t="s">
        <v>2460</v>
      </c>
      <c r="B1288" s="1">
        <v>45636</v>
      </c>
      <c r="C1288" t="s">
        <v>2461</v>
      </c>
      <c r="D1288" t="s">
        <v>17</v>
      </c>
      <c r="E1288" t="s">
        <v>248</v>
      </c>
      <c r="F1288" t="s">
        <v>26</v>
      </c>
      <c r="G1288" t="s">
        <v>42</v>
      </c>
      <c r="H1288" t="s">
        <v>43</v>
      </c>
      <c r="I1288">
        <v>6</v>
      </c>
      <c r="J1288">
        <v>282.23</v>
      </c>
      <c r="K1288">
        <v>5</v>
      </c>
      <c r="L1288">
        <v>1608.71</v>
      </c>
      <c r="M1288">
        <v>20.02</v>
      </c>
      <c r="N1288">
        <v>572.66</v>
      </c>
      <c r="O1288" t="s">
        <v>34</v>
      </c>
    </row>
    <row r="1289" spans="1:15" x14ac:dyDescent="0.35">
      <c r="A1289" t="s">
        <v>2462</v>
      </c>
      <c r="B1289" s="1">
        <v>45637</v>
      </c>
      <c r="C1289" t="s">
        <v>2463</v>
      </c>
      <c r="D1289" t="s">
        <v>30</v>
      </c>
      <c r="E1289" t="s">
        <v>92</v>
      </c>
      <c r="F1289" t="s">
        <v>60</v>
      </c>
      <c r="G1289" t="s">
        <v>32</v>
      </c>
      <c r="H1289" t="s">
        <v>73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t="s">
        <v>34</v>
      </c>
    </row>
    <row r="1290" spans="1:15" x14ac:dyDescent="0.35">
      <c r="A1290" t="s">
        <v>2464</v>
      </c>
      <c r="B1290" s="1">
        <v>45637</v>
      </c>
      <c r="C1290" t="s">
        <v>397</v>
      </c>
      <c r="D1290" t="s">
        <v>30</v>
      </c>
      <c r="E1290" t="s">
        <v>148</v>
      </c>
      <c r="F1290" t="s">
        <v>60</v>
      </c>
      <c r="G1290" t="s">
        <v>32</v>
      </c>
      <c r="H1290" t="s">
        <v>115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t="s">
        <v>56</v>
      </c>
    </row>
    <row r="1291" spans="1:15" x14ac:dyDescent="0.35">
      <c r="A1291" t="s">
        <v>2465</v>
      </c>
      <c r="B1291" s="1">
        <v>45637</v>
      </c>
      <c r="C1291" t="s">
        <v>2466</v>
      </c>
      <c r="D1291" t="s">
        <v>17</v>
      </c>
      <c r="E1291" t="s">
        <v>31</v>
      </c>
      <c r="F1291" t="s">
        <v>19</v>
      </c>
      <c r="G1291" t="s">
        <v>42</v>
      </c>
      <c r="H1291" t="s">
        <v>64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t="s">
        <v>56</v>
      </c>
    </row>
    <row r="1292" spans="1:15" x14ac:dyDescent="0.35">
      <c r="A1292" t="s">
        <v>2467</v>
      </c>
      <c r="B1292" s="1">
        <v>45639</v>
      </c>
      <c r="C1292" t="s">
        <v>1884</v>
      </c>
      <c r="D1292" t="s">
        <v>30</v>
      </c>
      <c r="E1292" t="s">
        <v>138</v>
      </c>
      <c r="F1292" t="s">
        <v>54</v>
      </c>
      <c r="G1292" t="s">
        <v>42</v>
      </c>
      <c r="H1292" t="s">
        <v>118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t="s">
        <v>56</v>
      </c>
    </row>
    <row r="1293" spans="1:15" x14ac:dyDescent="0.35">
      <c r="A1293" t="s">
        <v>2468</v>
      </c>
      <c r="B1293" s="1">
        <v>45639</v>
      </c>
      <c r="C1293" t="s">
        <v>2469</v>
      </c>
      <c r="D1293" t="s">
        <v>30</v>
      </c>
      <c r="E1293" t="s">
        <v>31</v>
      </c>
      <c r="F1293" t="s">
        <v>19</v>
      </c>
      <c r="G1293" t="s">
        <v>69</v>
      </c>
      <c r="H1293" t="s">
        <v>163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t="s">
        <v>34</v>
      </c>
    </row>
    <row r="1294" spans="1:15" x14ac:dyDescent="0.35">
      <c r="A1294" t="s">
        <v>2470</v>
      </c>
      <c r="B1294" s="1">
        <v>45640</v>
      </c>
      <c r="C1294" t="s">
        <v>2471</v>
      </c>
      <c r="D1294" t="s">
        <v>17</v>
      </c>
      <c r="E1294" t="s">
        <v>67</v>
      </c>
      <c r="F1294" t="s">
        <v>68</v>
      </c>
      <c r="G1294" t="s">
        <v>42</v>
      </c>
      <c r="H1294" t="s">
        <v>89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t="s">
        <v>39</v>
      </c>
    </row>
    <row r="1295" spans="1:15" x14ac:dyDescent="0.35">
      <c r="A1295" t="s">
        <v>2472</v>
      </c>
      <c r="B1295" s="1">
        <v>45640</v>
      </c>
      <c r="C1295" t="s">
        <v>2473</v>
      </c>
      <c r="D1295" t="s">
        <v>17</v>
      </c>
      <c r="E1295" t="s">
        <v>37</v>
      </c>
      <c r="F1295" t="s">
        <v>26</v>
      </c>
      <c r="G1295" t="s">
        <v>32</v>
      </c>
      <c r="H1295" t="s">
        <v>33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t="s">
        <v>56</v>
      </c>
    </row>
    <row r="1296" spans="1:15" x14ac:dyDescent="0.35">
      <c r="A1296" t="s">
        <v>2474</v>
      </c>
      <c r="B1296" s="1">
        <v>45640</v>
      </c>
      <c r="C1296" t="s">
        <v>740</v>
      </c>
      <c r="D1296" t="s">
        <v>30</v>
      </c>
      <c r="E1296" t="s">
        <v>18</v>
      </c>
      <c r="F1296" t="s">
        <v>19</v>
      </c>
      <c r="G1296" t="s">
        <v>32</v>
      </c>
      <c r="H1296" t="s">
        <v>73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t="s">
        <v>22</v>
      </c>
    </row>
    <row r="1297" spans="1:15" x14ac:dyDescent="0.35">
      <c r="A1297" t="s">
        <v>2475</v>
      </c>
      <c r="B1297" s="1">
        <v>45640</v>
      </c>
      <c r="C1297" t="s">
        <v>2476</v>
      </c>
      <c r="D1297" t="s">
        <v>17</v>
      </c>
      <c r="E1297" t="s">
        <v>59</v>
      </c>
      <c r="F1297" t="s">
        <v>60</v>
      </c>
      <c r="G1297" t="s">
        <v>32</v>
      </c>
      <c r="H1297" t="s">
        <v>149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t="s">
        <v>34</v>
      </c>
    </row>
    <row r="1298" spans="1:15" x14ac:dyDescent="0.35">
      <c r="A1298" t="s">
        <v>2477</v>
      </c>
      <c r="B1298" s="1">
        <v>45640</v>
      </c>
      <c r="C1298" t="s">
        <v>217</v>
      </c>
      <c r="D1298" t="s">
        <v>17</v>
      </c>
      <c r="E1298" t="s">
        <v>166</v>
      </c>
      <c r="F1298" t="s">
        <v>60</v>
      </c>
      <c r="G1298" t="s">
        <v>20</v>
      </c>
      <c r="H1298" t="s">
        <v>55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t="s">
        <v>56</v>
      </c>
    </row>
    <row r="1299" spans="1:15" x14ac:dyDescent="0.35">
      <c r="A1299" t="s">
        <v>2478</v>
      </c>
      <c r="B1299" s="1">
        <v>45641</v>
      </c>
      <c r="C1299" t="s">
        <v>2479</v>
      </c>
      <c r="D1299" t="s">
        <v>49</v>
      </c>
      <c r="E1299" t="s">
        <v>169</v>
      </c>
      <c r="F1299" t="s">
        <v>68</v>
      </c>
      <c r="G1299" t="s">
        <v>32</v>
      </c>
      <c r="H1299" t="s">
        <v>132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t="s">
        <v>22</v>
      </c>
    </row>
    <row r="1300" spans="1:15" x14ac:dyDescent="0.35">
      <c r="A1300" t="s">
        <v>2480</v>
      </c>
      <c r="B1300" s="1">
        <v>45641</v>
      </c>
      <c r="C1300" t="s">
        <v>2481</v>
      </c>
      <c r="D1300" t="s">
        <v>30</v>
      </c>
      <c r="E1300" t="s">
        <v>85</v>
      </c>
      <c r="F1300" t="s">
        <v>60</v>
      </c>
      <c r="G1300" t="s">
        <v>32</v>
      </c>
      <c r="H1300" t="s">
        <v>348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t="s">
        <v>56</v>
      </c>
    </row>
    <row r="1301" spans="1:15" x14ac:dyDescent="0.35">
      <c r="A1301" t="s">
        <v>2482</v>
      </c>
      <c r="B1301" s="1">
        <v>45642</v>
      </c>
      <c r="C1301" t="s">
        <v>2483</v>
      </c>
      <c r="D1301" t="s">
        <v>49</v>
      </c>
      <c r="E1301" t="s">
        <v>18</v>
      </c>
      <c r="F1301" t="s">
        <v>19</v>
      </c>
      <c r="G1301" t="s">
        <v>69</v>
      </c>
      <c r="H1301" t="s">
        <v>70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t="s">
        <v>34</v>
      </c>
    </row>
    <row r="1302" spans="1:15" x14ac:dyDescent="0.35">
      <c r="A1302" t="s">
        <v>2484</v>
      </c>
      <c r="B1302" s="1">
        <v>45642</v>
      </c>
      <c r="C1302" t="s">
        <v>2485</v>
      </c>
      <c r="D1302" t="s">
        <v>30</v>
      </c>
      <c r="E1302" t="s">
        <v>37</v>
      </c>
      <c r="F1302" t="s">
        <v>26</v>
      </c>
      <c r="G1302" t="s">
        <v>42</v>
      </c>
      <c r="H1302" t="s">
        <v>46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t="s">
        <v>22</v>
      </c>
    </row>
    <row r="1303" spans="1:15" x14ac:dyDescent="0.35">
      <c r="A1303" t="s">
        <v>2486</v>
      </c>
      <c r="B1303" s="1">
        <v>45643</v>
      </c>
      <c r="C1303" t="s">
        <v>2487</v>
      </c>
      <c r="D1303" t="s">
        <v>49</v>
      </c>
      <c r="E1303" t="s">
        <v>25</v>
      </c>
      <c r="F1303" t="s">
        <v>26</v>
      </c>
      <c r="G1303" t="s">
        <v>42</v>
      </c>
      <c r="H1303" t="s">
        <v>234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t="s">
        <v>34</v>
      </c>
    </row>
    <row r="1304" spans="1:15" x14ac:dyDescent="0.35">
      <c r="A1304" t="s">
        <v>2488</v>
      </c>
      <c r="B1304" s="1">
        <v>45644</v>
      </c>
      <c r="C1304" t="s">
        <v>987</v>
      </c>
      <c r="D1304" t="s">
        <v>30</v>
      </c>
      <c r="E1304" t="s">
        <v>59</v>
      </c>
      <c r="F1304" t="s">
        <v>60</v>
      </c>
      <c r="G1304" t="s">
        <v>20</v>
      </c>
      <c r="H1304" t="s">
        <v>122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t="s">
        <v>39</v>
      </c>
    </row>
    <row r="1305" spans="1:15" x14ac:dyDescent="0.35">
      <c r="A1305" t="s">
        <v>2489</v>
      </c>
      <c r="B1305" s="1">
        <v>45644</v>
      </c>
      <c r="C1305" t="s">
        <v>2490</v>
      </c>
      <c r="D1305" t="s">
        <v>30</v>
      </c>
      <c r="E1305" t="s">
        <v>31</v>
      </c>
      <c r="F1305" t="s">
        <v>19</v>
      </c>
      <c r="G1305" t="s">
        <v>42</v>
      </c>
      <c r="H1305" t="s">
        <v>294</v>
      </c>
      <c r="I1305">
        <v>10</v>
      </c>
      <c r="J1305">
        <v>253.85</v>
      </c>
      <c r="K1305">
        <v>0</v>
      </c>
      <c r="L1305">
        <v>2538.5</v>
      </c>
      <c r="M1305">
        <v>22.56</v>
      </c>
      <c r="N1305">
        <v>992.84</v>
      </c>
      <c r="O1305" t="s">
        <v>22</v>
      </c>
    </row>
    <row r="1306" spans="1:15" x14ac:dyDescent="0.35">
      <c r="A1306" t="s">
        <v>2491</v>
      </c>
      <c r="B1306" s="1">
        <v>45646</v>
      </c>
      <c r="C1306" t="s">
        <v>2492</v>
      </c>
      <c r="D1306" t="s">
        <v>30</v>
      </c>
      <c r="E1306" t="s">
        <v>129</v>
      </c>
      <c r="F1306" t="s">
        <v>19</v>
      </c>
      <c r="G1306" t="s">
        <v>32</v>
      </c>
      <c r="H1306" t="s">
        <v>33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t="s">
        <v>22</v>
      </c>
    </row>
    <row r="1307" spans="1:15" x14ac:dyDescent="0.35">
      <c r="A1307" t="s">
        <v>2493</v>
      </c>
      <c r="B1307" s="1">
        <v>45647</v>
      </c>
      <c r="C1307" t="s">
        <v>97</v>
      </c>
      <c r="D1307" t="s">
        <v>30</v>
      </c>
      <c r="E1307" t="s">
        <v>138</v>
      </c>
      <c r="F1307" t="s">
        <v>54</v>
      </c>
      <c r="G1307" t="s">
        <v>20</v>
      </c>
      <c r="H1307" t="s">
        <v>106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t="s">
        <v>39</v>
      </c>
    </row>
    <row r="1308" spans="1:15" x14ac:dyDescent="0.35">
      <c r="A1308" t="s">
        <v>2494</v>
      </c>
      <c r="B1308" s="1">
        <v>45647</v>
      </c>
      <c r="C1308" t="s">
        <v>2495</v>
      </c>
      <c r="D1308" t="s">
        <v>30</v>
      </c>
      <c r="E1308" t="s">
        <v>248</v>
      </c>
      <c r="F1308" t="s">
        <v>26</v>
      </c>
      <c r="G1308" t="s">
        <v>32</v>
      </c>
      <c r="H1308" t="s">
        <v>149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t="s">
        <v>22</v>
      </c>
    </row>
    <row r="1309" spans="1:15" x14ac:dyDescent="0.35">
      <c r="A1309" t="s">
        <v>2496</v>
      </c>
      <c r="B1309" s="1">
        <v>45649</v>
      </c>
      <c r="C1309" t="s">
        <v>2497</v>
      </c>
      <c r="D1309" t="s">
        <v>49</v>
      </c>
      <c r="E1309" t="s">
        <v>76</v>
      </c>
      <c r="F1309" t="s">
        <v>26</v>
      </c>
      <c r="G1309" t="s">
        <v>69</v>
      </c>
      <c r="H1309" t="s">
        <v>305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t="s">
        <v>39</v>
      </c>
    </row>
    <row r="1310" spans="1:15" x14ac:dyDescent="0.35">
      <c r="A1310" t="s">
        <v>2498</v>
      </c>
      <c r="B1310" s="1">
        <v>45649</v>
      </c>
      <c r="C1310" t="s">
        <v>2499</v>
      </c>
      <c r="D1310" t="s">
        <v>30</v>
      </c>
      <c r="E1310" t="s">
        <v>135</v>
      </c>
      <c r="F1310" t="s">
        <v>26</v>
      </c>
      <c r="G1310" t="s">
        <v>42</v>
      </c>
      <c r="H1310" t="s">
        <v>43</v>
      </c>
      <c r="I1310">
        <v>7</v>
      </c>
      <c r="J1310">
        <v>212.35</v>
      </c>
      <c r="K1310">
        <v>20</v>
      </c>
      <c r="L1310">
        <v>1189.1600000000001</v>
      </c>
      <c r="M1310">
        <v>14.04</v>
      </c>
      <c r="N1310">
        <v>283.25</v>
      </c>
      <c r="O1310" t="s">
        <v>39</v>
      </c>
    </row>
    <row r="1311" spans="1:15" x14ac:dyDescent="0.35">
      <c r="A1311" t="s">
        <v>2500</v>
      </c>
      <c r="B1311" s="1">
        <v>45649</v>
      </c>
      <c r="C1311" t="s">
        <v>2501</v>
      </c>
      <c r="D1311" t="s">
        <v>30</v>
      </c>
      <c r="E1311" t="s">
        <v>129</v>
      </c>
      <c r="F1311" t="s">
        <v>19</v>
      </c>
      <c r="G1311" t="s">
        <v>42</v>
      </c>
      <c r="H1311" t="s">
        <v>64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t="s">
        <v>34</v>
      </c>
    </row>
    <row r="1312" spans="1:15" x14ac:dyDescent="0.35">
      <c r="A1312" t="s">
        <v>2502</v>
      </c>
      <c r="B1312" s="1">
        <v>45650</v>
      </c>
      <c r="C1312" t="s">
        <v>2503</v>
      </c>
      <c r="D1312" t="s">
        <v>30</v>
      </c>
      <c r="E1312" t="s">
        <v>53</v>
      </c>
      <c r="F1312" t="s">
        <v>54</v>
      </c>
      <c r="G1312" t="s">
        <v>20</v>
      </c>
      <c r="H1312" t="s">
        <v>106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t="s">
        <v>34</v>
      </c>
    </row>
    <row r="1313" spans="1:15" x14ac:dyDescent="0.35">
      <c r="A1313" t="s">
        <v>2504</v>
      </c>
      <c r="B1313" s="1">
        <v>45651</v>
      </c>
      <c r="C1313" t="s">
        <v>1933</v>
      </c>
      <c r="D1313" t="s">
        <v>30</v>
      </c>
      <c r="E1313" t="s">
        <v>18</v>
      </c>
      <c r="F1313" t="s">
        <v>19</v>
      </c>
      <c r="G1313" t="s">
        <v>32</v>
      </c>
      <c r="H1313" t="s">
        <v>33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t="s">
        <v>34</v>
      </c>
    </row>
    <row r="1314" spans="1:15" x14ac:dyDescent="0.35">
      <c r="A1314" t="s">
        <v>2505</v>
      </c>
      <c r="B1314" s="1">
        <v>45652</v>
      </c>
      <c r="C1314" t="s">
        <v>2506</v>
      </c>
      <c r="D1314" t="s">
        <v>17</v>
      </c>
      <c r="E1314" t="s">
        <v>63</v>
      </c>
      <c r="F1314" t="s">
        <v>54</v>
      </c>
      <c r="G1314" t="s">
        <v>20</v>
      </c>
      <c r="H1314" t="s">
        <v>27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t="s">
        <v>34</v>
      </c>
    </row>
    <row r="1315" spans="1:15" x14ac:dyDescent="0.35">
      <c r="A1315" t="s">
        <v>2507</v>
      </c>
      <c r="B1315" s="1">
        <v>45653</v>
      </c>
      <c r="C1315" t="s">
        <v>2508</v>
      </c>
      <c r="D1315" t="s">
        <v>49</v>
      </c>
      <c r="E1315" t="s">
        <v>59</v>
      </c>
      <c r="F1315" t="s">
        <v>60</v>
      </c>
      <c r="G1315" t="s">
        <v>69</v>
      </c>
      <c r="H1315" t="s">
        <v>98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t="s">
        <v>34</v>
      </c>
    </row>
    <row r="1316" spans="1:15" x14ac:dyDescent="0.35">
      <c r="A1316" t="s">
        <v>2509</v>
      </c>
      <c r="B1316" s="1">
        <v>45653</v>
      </c>
      <c r="C1316" t="s">
        <v>2510</v>
      </c>
      <c r="D1316" t="s">
        <v>30</v>
      </c>
      <c r="E1316" t="s">
        <v>85</v>
      </c>
      <c r="F1316" t="s">
        <v>60</v>
      </c>
      <c r="G1316" t="s">
        <v>42</v>
      </c>
      <c r="H1316" t="s">
        <v>89</v>
      </c>
      <c r="I1316">
        <v>4</v>
      </c>
      <c r="J1316">
        <v>416.86</v>
      </c>
      <c r="K1316">
        <v>0</v>
      </c>
      <c r="L1316">
        <v>1667.44</v>
      </c>
      <c r="M1316">
        <v>13.27</v>
      </c>
      <c r="N1316">
        <v>653.71</v>
      </c>
      <c r="O1316" t="s">
        <v>22</v>
      </c>
    </row>
    <row r="1317" spans="1:15" x14ac:dyDescent="0.35">
      <c r="A1317" t="s">
        <v>2511</v>
      </c>
      <c r="B1317" s="1">
        <v>45656</v>
      </c>
      <c r="C1317" t="s">
        <v>2512</v>
      </c>
      <c r="D1317" t="s">
        <v>17</v>
      </c>
      <c r="E1317" t="s">
        <v>76</v>
      </c>
      <c r="F1317" t="s">
        <v>26</v>
      </c>
      <c r="G1317" t="s">
        <v>69</v>
      </c>
      <c r="H1317" t="s">
        <v>163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t="s">
        <v>22</v>
      </c>
    </row>
    <row r="1318" spans="1:15" x14ac:dyDescent="0.35">
      <c r="A1318" t="s">
        <v>2513</v>
      </c>
      <c r="B1318" s="1">
        <v>45656</v>
      </c>
      <c r="C1318" t="s">
        <v>2514</v>
      </c>
      <c r="D1318" t="s">
        <v>49</v>
      </c>
      <c r="E1318" t="s">
        <v>109</v>
      </c>
      <c r="F1318" t="s">
        <v>54</v>
      </c>
      <c r="G1318" t="s">
        <v>32</v>
      </c>
      <c r="H1318" t="s">
        <v>132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t="s">
        <v>34</v>
      </c>
    </row>
    <row r="1319" spans="1:15" x14ac:dyDescent="0.35">
      <c r="A1319" t="s">
        <v>2515</v>
      </c>
      <c r="B1319" s="1">
        <v>45657</v>
      </c>
      <c r="C1319" t="s">
        <v>2516</v>
      </c>
      <c r="D1319" t="s">
        <v>17</v>
      </c>
      <c r="E1319" t="s">
        <v>148</v>
      </c>
      <c r="F1319" t="s">
        <v>60</v>
      </c>
      <c r="G1319" t="s">
        <v>20</v>
      </c>
      <c r="H1319" t="s">
        <v>175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t="s">
        <v>34</v>
      </c>
    </row>
    <row r="1320" spans="1:15" x14ac:dyDescent="0.35">
      <c r="A1320" t="s">
        <v>2517</v>
      </c>
      <c r="B1320" s="1">
        <v>45657</v>
      </c>
      <c r="C1320" t="s">
        <v>108</v>
      </c>
      <c r="D1320" t="s">
        <v>30</v>
      </c>
      <c r="E1320" t="s">
        <v>138</v>
      </c>
      <c r="F1320" t="s">
        <v>54</v>
      </c>
      <c r="G1320" t="s">
        <v>32</v>
      </c>
      <c r="H1320" t="s">
        <v>82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t="s">
        <v>22</v>
      </c>
    </row>
    <row r="1321" spans="1:15" x14ac:dyDescent="0.35">
      <c r="A1321" t="s">
        <v>2518</v>
      </c>
      <c r="B1321" s="1">
        <v>45658</v>
      </c>
      <c r="C1321" t="s">
        <v>252</v>
      </c>
      <c r="D1321" t="s">
        <v>30</v>
      </c>
      <c r="E1321" t="s">
        <v>18</v>
      </c>
      <c r="F1321" t="s">
        <v>19</v>
      </c>
      <c r="G1321" t="s">
        <v>42</v>
      </c>
      <c r="H1321" t="s">
        <v>294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t="s">
        <v>39</v>
      </c>
    </row>
    <row r="1322" spans="1:15" x14ac:dyDescent="0.35">
      <c r="A1322" t="s">
        <v>2519</v>
      </c>
      <c r="B1322" s="1">
        <v>45658</v>
      </c>
      <c r="C1322" t="s">
        <v>2520</v>
      </c>
      <c r="D1322" t="s">
        <v>30</v>
      </c>
      <c r="E1322" t="s">
        <v>129</v>
      </c>
      <c r="F1322" t="s">
        <v>19</v>
      </c>
      <c r="G1322" t="s">
        <v>20</v>
      </c>
      <c r="H1322" t="s">
        <v>170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t="s">
        <v>22</v>
      </c>
    </row>
    <row r="1323" spans="1:15" x14ac:dyDescent="0.35">
      <c r="A1323" t="s">
        <v>2521</v>
      </c>
      <c r="B1323" s="1">
        <v>45659</v>
      </c>
      <c r="C1323" t="s">
        <v>2522</v>
      </c>
      <c r="D1323" t="s">
        <v>49</v>
      </c>
      <c r="E1323" t="s">
        <v>85</v>
      </c>
      <c r="F1323" t="s">
        <v>60</v>
      </c>
      <c r="G1323" t="s">
        <v>20</v>
      </c>
      <c r="H1323" t="s">
        <v>55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t="s">
        <v>56</v>
      </c>
    </row>
    <row r="1324" spans="1:15" x14ac:dyDescent="0.35">
      <c r="A1324" t="s">
        <v>2523</v>
      </c>
      <c r="B1324" s="1">
        <v>45659</v>
      </c>
      <c r="C1324" t="s">
        <v>1235</v>
      </c>
      <c r="D1324" t="s">
        <v>30</v>
      </c>
      <c r="E1324" t="s">
        <v>31</v>
      </c>
      <c r="F1324" t="s">
        <v>19</v>
      </c>
      <c r="G1324" t="s">
        <v>42</v>
      </c>
      <c r="H1324" t="s">
        <v>371</v>
      </c>
      <c r="I1324">
        <v>7</v>
      </c>
      <c r="J1324">
        <v>234.12</v>
      </c>
      <c r="K1324">
        <v>0</v>
      </c>
      <c r="L1324">
        <v>1638.84</v>
      </c>
      <c r="M1324">
        <v>10.77</v>
      </c>
      <c r="N1324">
        <v>644.77</v>
      </c>
      <c r="O1324" t="s">
        <v>39</v>
      </c>
    </row>
    <row r="1325" spans="1:15" x14ac:dyDescent="0.35">
      <c r="A1325" t="s">
        <v>2524</v>
      </c>
      <c r="B1325" s="1">
        <v>45660</v>
      </c>
      <c r="C1325" t="s">
        <v>350</v>
      </c>
      <c r="D1325" t="s">
        <v>17</v>
      </c>
      <c r="E1325" t="s">
        <v>129</v>
      </c>
      <c r="F1325" t="s">
        <v>19</v>
      </c>
      <c r="G1325" t="s">
        <v>42</v>
      </c>
      <c r="H1325" t="s">
        <v>371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t="s">
        <v>39</v>
      </c>
    </row>
    <row r="1326" spans="1:15" x14ac:dyDescent="0.35">
      <c r="A1326" t="s">
        <v>2525</v>
      </c>
      <c r="B1326" s="1">
        <v>45660</v>
      </c>
      <c r="C1326" t="s">
        <v>2526</v>
      </c>
      <c r="D1326" t="s">
        <v>30</v>
      </c>
      <c r="E1326" t="s">
        <v>53</v>
      </c>
      <c r="F1326" t="s">
        <v>54</v>
      </c>
      <c r="G1326" t="s">
        <v>42</v>
      </c>
      <c r="H1326" t="s">
        <v>89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t="s">
        <v>34</v>
      </c>
    </row>
    <row r="1327" spans="1:15" x14ac:dyDescent="0.35">
      <c r="A1327" t="s">
        <v>2527</v>
      </c>
      <c r="B1327" s="1">
        <v>45660</v>
      </c>
      <c r="C1327" t="s">
        <v>2528</v>
      </c>
      <c r="D1327" t="s">
        <v>49</v>
      </c>
      <c r="E1327" t="s">
        <v>31</v>
      </c>
      <c r="F1327" t="s">
        <v>19</v>
      </c>
      <c r="G1327" t="s">
        <v>32</v>
      </c>
      <c r="H1327" t="s">
        <v>50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t="s">
        <v>56</v>
      </c>
    </row>
    <row r="1328" spans="1:15" x14ac:dyDescent="0.35">
      <c r="A1328" t="s">
        <v>2529</v>
      </c>
      <c r="B1328" s="1">
        <v>45661</v>
      </c>
      <c r="C1328" t="s">
        <v>2530</v>
      </c>
      <c r="D1328" t="s">
        <v>30</v>
      </c>
      <c r="E1328" t="s">
        <v>248</v>
      </c>
      <c r="F1328" t="s">
        <v>26</v>
      </c>
      <c r="G1328" t="s">
        <v>42</v>
      </c>
      <c r="H1328" t="s">
        <v>371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t="s">
        <v>39</v>
      </c>
    </row>
    <row r="1329" spans="1:15" x14ac:dyDescent="0.35">
      <c r="A1329" t="s">
        <v>2531</v>
      </c>
      <c r="B1329" s="1">
        <v>45662</v>
      </c>
      <c r="C1329" t="s">
        <v>2532</v>
      </c>
      <c r="D1329" t="s">
        <v>30</v>
      </c>
      <c r="E1329" t="s">
        <v>31</v>
      </c>
      <c r="F1329" t="s">
        <v>19</v>
      </c>
      <c r="G1329" t="s">
        <v>69</v>
      </c>
      <c r="H1329" t="s">
        <v>139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t="s">
        <v>22</v>
      </c>
    </row>
    <row r="1330" spans="1:15" x14ac:dyDescent="0.35">
      <c r="A1330" t="s">
        <v>2533</v>
      </c>
      <c r="B1330" s="1">
        <v>45662</v>
      </c>
      <c r="C1330" t="s">
        <v>680</v>
      </c>
      <c r="D1330" t="s">
        <v>17</v>
      </c>
      <c r="E1330" t="s">
        <v>85</v>
      </c>
      <c r="F1330" t="s">
        <v>60</v>
      </c>
      <c r="G1330" t="s">
        <v>32</v>
      </c>
      <c r="H1330" t="s">
        <v>33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t="s">
        <v>34</v>
      </c>
    </row>
    <row r="1331" spans="1:15" x14ac:dyDescent="0.35">
      <c r="A1331" t="s">
        <v>2534</v>
      </c>
      <c r="B1331" s="1">
        <v>45663</v>
      </c>
      <c r="C1331" t="s">
        <v>2294</v>
      </c>
      <c r="D1331" t="s">
        <v>30</v>
      </c>
      <c r="E1331" t="s">
        <v>18</v>
      </c>
      <c r="F1331" t="s">
        <v>19</v>
      </c>
      <c r="G1331" t="s">
        <v>32</v>
      </c>
      <c r="H1331" t="s">
        <v>149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t="s">
        <v>39</v>
      </c>
    </row>
    <row r="1332" spans="1:15" x14ac:dyDescent="0.35">
      <c r="A1332" t="s">
        <v>2535</v>
      </c>
      <c r="B1332" s="1">
        <v>45663</v>
      </c>
      <c r="C1332" t="s">
        <v>2434</v>
      </c>
      <c r="D1332" t="s">
        <v>49</v>
      </c>
      <c r="E1332" t="s">
        <v>31</v>
      </c>
      <c r="F1332" t="s">
        <v>19</v>
      </c>
      <c r="G1332" t="s">
        <v>32</v>
      </c>
      <c r="H1332" t="s">
        <v>50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t="s">
        <v>39</v>
      </c>
    </row>
    <row r="1333" spans="1:15" x14ac:dyDescent="0.35">
      <c r="A1333" t="s">
        <v>2536</v>
      </c>
      <c r="B1333" s="1">
        <v>45665</v>
      </c>
      <c r="C1333" t="s">
        <v>2537</v>
      </c>
      <c r="D1333" t="s">
        <v>30</v>
      </c>
      <c r="E1333" t="s">
        <v>18</v>
      </c>
      <c r="F1333" t="s">
        <v>19</v>
      </c>
      <c r="G1333" t="s">
        <v>20</v>
      </c>
      <c r="H1333" t="s">
        <v>264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t="s">
        <v>34</v>
      </c>
    </row>
    <row r="1334" spans="1:15" x14ac:dyDescent="0.35">
      <c r="A1334" t="s">
        <v>2538</v>
      </c>
      <c r="B1334" s="1">
        <v>45665</v>
      </c>
      <c r="C1334" t="s">
        <v>2539</v>
      </c>
      <c r="D1334" t="s">
        <v>30</v>
      </c>
      <c r="E1334" t="s">
        <v>169</v>
      </c>
      <c r="F1334" t="s">
        <v>68</v>
      </c>
      <c r="G1334" t="s">
        <v>32</v>
      </c>
      <c r="H1334" t="s">
        <v>132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t="s">
        <v>56</v>
      </c>
    </row>
    <row r="1335" spans="1:15" x14ac:dyDescent="0.35">
      <c r="A1335" t="s">
        <v>2540</v>
      </c>
      <c r="B1335" s="1">
        <v>45666</v>
      </c>
      <c r="C1335" t="s">
        <v>1078</v>
      </c>
      <c r="D1335" t="s">
        <v>30</v>
      </c>
      <c r="E1335" t="s">
        <v>37</v>
      </c>
      <c r="F1335" t="s">
        <v>26</v>
      </c>
      <c r="G1335" t="s">
        <v>32</v>
      </c>
      <c r="H1335" t="s">
        <v>50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t="s">
        <v>56</v>
      </c>
    </row>
    <row r="1336" spans="1:15" x14ac:dyDescent="0.35">
      <c r="A1336" t="s">
        <v>2541</v>
      </c>
      <c r="B1336" s="1">
        <v>45666</v>
      </c>
      <c r="C1336" t="s">
        <v>2542</v>
      </c>
      <c r="D1336" t="s">
        <v>30</v>
      </c>
      <c r="E1336" t="s">
        <v>129</v>
      </c>
      <c r="F1336" t="s">
        <v>19</v>
      </c>
      <c r="G1336" t="s">
        <v>32</v>
      </c>
      <c r="H1336" t="s">
        <v>149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t="s">
        <v>34</v>
      </c>
    </row>
    <row r="1337" spans="1:15" x14ac:dyDescent="0.35">
      <c r="A1337" t="s">
        <v>2543</v>
      </c>
      <c r="B1337" s="1">
        <v>45667</v>
      </c>
      <c r="C1337" t="s">
        <v>2544</v>
      </c>
      <c r="D1337" t="s">
        <v>17</v>
      </c>
      <c r="E1337" t="s">
        <v>76</v>
      </c>
      <c r="F1337" t="s">
        <v>26</v>
      </c>
      <c r="G1337" t="s">
        <v>20</v>
      </c>
      <c r="H1337" t="s">
        <v>106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t="s">
        <v>34</v>
      </c>
    </row>
    <row r="1338" spans="1:15" x14ac:dyDescent="0.35">
      <c r="A1338" t="s">
        <v>2545</v>
      </c>
      <c r="B1338" s="1">
        <v>45668</v>
      </c>
      <c r="C1338" t="s">
        <v>2546</v>
      </c>
      <c r="D1338" t="s">
        <v>30</v>
      </c>
      <c r="E1338" t="s">
        <v>85</v>
      </c>
      <c r="F1338" t="s">
        <v>60</v>
      </c>
      <c r="G1338" t="s">
        <v>32</v>
      </c>
      <c r="H1338" t="s">
        <v>115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t="s">
        <v>34</v>
      </c>
    </row>
    <row r="1339" spans="1:15" x14ac:dyDescent="0.35">
      <c r="A1339" t="s">
        <v>2547</v>
      </c>
      <c r="B1339" s="1">
        <v>45669</v>
      </c>
      <c r="C1339" t="s">
        <v>703</v>
      </c>
      <c r="D1339" t="s">
        <v>30</v>
      </c>
      <c r="E1339" t="s">
        <v>76</v>
      </c>
      <c r="F1339" t="s">
        <v>26</v>
      </c>
      <c r="G1339" t="s">
        <v>69</v>
      </c>
      <c r="H1339" t="s">
        <v>70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t="s">
        <v>22</v>
      </c>
    </row>
    <row r="1340" spans="1:15" x14ac:dyDescent="0.35">
      <c r="A1340" t="s">
        <v>2548</v>
      </c>
      <c r="B1340" s="1">
        <v>45669</v>
      </c>
      <c r="C1340" t="s">
        <v>2549</v>
      </c>
      <c r="D1340" t="s">
        <v>30</v>
      </c>
      <c r="E1340" t="s">
        <v>18</v>
      </c>
      <c r="F1340" t="s">
        <v>19</v>
      </c>
      <c r="G1340" t="s">
        <v>69</v>
      </c>
      <c r="H1340" t="s">
        <v>70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t="s">
        <v>34</v>
      </c>
    </row>
    <row r="1341" spans="1:15" x14ac:dyDescent="0.35">
      <c r="A1341" t="s">
        <v>2550</v>
      </c>
      <c r="B1341" s="1">
        <v>45671</v>
      </c>
      <c r="C1341" t="s">
        <v>2028</v>
      </c>
      <c r="D1341" t="s">
        <v>30</v>
      </c>
      <c r="E1341" t="s">
        <v>129</v>
      </c>
      <c r="F1341" t="s">
        <v>19</v>
      </c>
      <c r="G1341" t="s">
        <v>20</v>
      </c>
      <c r="H1341" t="s">
        <v>21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t="s">
        <v>56</v>
      </c>
    </row>
    <row r="1342" spans="1:15" x14ac:dyDescent="0.35">
      <c r="A1342" t="s">
        <v>2551</v>
      </c>
      <c r="B1342" s="1">
        <v>45673</v>
      </c>
      <c r="C1342" t="s">
        <v>2222</v>
      </c>
      <c r="D1342" t="s">
        <v>17</v>
      </c>
      <c r="E1342" t="s">
        <v>135</v>
      </c>
      <c r="F1342" t="s">
        <v>26</v>
      </c>
      <c r="G1342" t="s">
        <v>69</v>
      </c>
      <c r="H1342" t="s">
        <v>79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t="s">
        <v>34</v>
      </c>
    </row>
    <row r="1343" spans="1:15" x14ac:dyDescent="0.35">
      <c r="A1343" t="s">
        <v>2552</v>
      </c>
      <c r="B1343" s="1">
        <v>45674</v>
      </c>
      <c r="C1343" t="s">
        <v>2553</v>
      </c>
      <c r="D1343" t="s">
        <v>17</v>
      </c>
      <c r="E1343" t="s">
        <v>18</v>
      </c>
      <c r="F1343" t="s">
        <v>19</v>
      </c>
      <c r="G1343" t="s">
        <v>42</v>
      </c>
      <c r="H1343" t="s">
        <v>46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t="s">
        <v>34</v>
      </c>
    </row>
    <row r="1344" spans="1:15" x14ac:dyDescent="0.35">
      <c r="A1344" t="s">
        <v>2554</v>
      </c>
      <c r="B1344" s="1">
        <v>45675</v>
      </c>
      <c r="C1344" t="s">
        <v>2555</v>
      </c>
      <c r="D1344" t="s">
        <v>30</v>
      </c>
      <c r="E1344" t="s">
        <v>53</v>
      </c>
      <c r="F1344" t="s">
        <v>54</v>
      </c>
      <c r="G1344" t="s">
        <v>20</v>
      </c>
      <c r="H1344" t="s">
        <v>264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t="s">
        <v>34</v>
      </c>
    </row>
    <row r="1345" spans="1:15" x14ac:dyDescent="0.35">
      <c r="A1345" t="s">
        <v>2556</v>
      </c>
      <c r="B1345" s="1">
        <v>45676</v>
      </c>
      <c r="C1345" t="s">
        <v>2557</v>
      </c>
      <c r="D1345" t="s">
        <v>49</v>
      </c>
      <c r="E1345" t="s">
        <v>121</v>
      </c>
      <c r="F1345" t="s">
        <v>68</v>
      </c>
      <c r="G1345" t="s">
        <v>32</v>
      </c>
      <c r="H1345" t="s">
        <v>33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t="s">
        <v>34</v>
      </c>
    </row>
    <row r="1346" spans="1:15" x14ac:dyDescent="0.35">
      <c r="A1346" t="s">
        <v>2558</v>
      </c>
      <c r="B1346" s="1">
        <v>45676</v>
      </c>
      <c r="C1346" t="s">
        <v>2559</v>
      </c>
      <c r="D1346" t="s">
        <v>30</v>
      </c>
      <c r="E1346" t="s">
        <v>85</v>
      </c>
      <c r="F1346" t="s">
        <v>60</v>
      </c>
      <c r="G1346" t="s">
        <v>20</v>
      </c>
      <c r="H1346" t="s">
        <v>38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t="s">
        <v>56</v>
      </c>
    </row>
    <row r="1347" spans="1:15" x14ac:dyDescent="0.35">
      <c r="A1347" t="s">
        <v>2560</v>
      </c>
      <c r="B1347" s="1">
        <v>45677</v>
      </c>
      <c r="C1347" t="s">
        <v>2561</v>
      </c>
      <c r="D1347" t="s">
        <v>17</v>
      </c>
      <c r="E1347" t="s">
        <v>121</v>
      </c>
      <c r="F1347" t="s">
        <v>68</v>
      </c>
      <c r="G1347" t="s">
        <v>20</v>
      </c>
      <c r="H1347" t="s">
        <v>199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t="s">
        <v>34</v>
      </c>
    </row>
    <row r="1348" spans="1:15" x14ac:dyDescent="0.35">
      <c r="A1348" t="s">
        <v>2562</v>
      </c>
      <c r="B1348" s="1">
        <v>45677</v>
      </c>
      <c r="C1348" t="s">
        <v>2563</v>
      </c>
      <c r="D1348" t="s">
        <v>30</v>
      </c>
      <c r="E1348" t="s">
        <v>148</v>
      </c>
      <c r="F1348" t="s">
        <v>60</v>
      </c>
      <c r="G1348" t="s">
        <v>42</v>
      </c>
      <c r="H1348" t="s">
        <v>118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t="s">
        <v>34</v>
      </c>
    </row>
    <row r="1349" spans="1:15" x14ac:dyDescent="0.35">
      <c r="A1349" t="s">
        <v>2564</v>
      </c>
      <c r="B1349" s="1">
        <v>45678</v>
      </c>
      <c r="C1349" t="s">
        <v>2565</v>
      </c>
      <c r="D1349" t="s">
        <v>30</v>
      </c>
      <c r="E1349" t="s">
        <v>63</v>
      </c>
      <c r="F1349" t="s">
        <v>54</v>
      </c>
      <c r="G1349" t="s">
        <v>42</v>
      </c>
      <c r="H1349" t="s">
        <v>294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t="s">
        <v>56</v>
      </c>
    </row>
    <row r="1350" spans="1:15" x14ac:dyDescent="0.35">
      <c r="A1350" t="s">
        <v>2566</v>
      </c>
      <c r="B1350" s="1">
        <v>45679</v>
      </c>
      <c r="C1350" t="s">
        <v>2567</v>
      </c>
      <c r="D1350" t="s">
        <v>30</v>
      </c>
      <c r="E1350" t="s">
        <v>76</v>
      </c>
      <c r="F1350" t="s">
        <v>26</v>
      </c>
      <c r="G1350" t="s">
        <v>42</v>
      </c>
      <c r="H1350" t="s">
        <v>93</v>
      </c>
      <c r="I1350">
        <v>8</v>
      </c>
      <c r="J1350">
        <v>162.72999999999999</v>
      </c>
      <c r="K1350">
        <v>5</v>
      </c>
      <c r="L1350">
        <v>1236.75</v>
      </c>
      <c r="M1350">
        <v>21.92</v>
      </c>
      <c r="N1350">
        <v>433.73</v>
      </c>
      <c r="O1350" t="s">
        <v>56</v>
      </c>
    </row>
    <row r="1351" spans="1:15" x14ac:dyDescent="0.35">
      <c r="A1351" t="s">
        <v>2568</v>
      </c>
      <c r="B1351" s="1">
        <v>45681</v>
      </c>
      <c r="C1351" t="s">
        <v>2569</v>
      </c>
      <c r="D1351" t="s">
        <v>30</v>
      </c>
      <c r="E1351" t="s">
        <v>135</v>
      </c>
      <c r="F1351" t="s">
        <v>26</v>
      </c>
      <c r="G1351" t="s">
        <v>32</v>
      </c>
      <c r="H1351" t="s">
        <v>348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t="s">
        <v>22</v>
      </c>
    </row>
    <row r="1352" spans="1:15" x14ac:dyDescent="0.35">
      <c r="A1352" t="s">
        <v>2570</v>
      </c>
      <c r="B1352" s="1">
        <v>45681</v>
      </c>
      <c r="C1352" t="s">
        <v>2571</v>
      </c>
      <c r="D1352" t="s">
        <v>49</v>
      </c>
      <c r="E1352" t="s">
        <v>59</v>
      </c>
      <c r="F1352" t="s">
        <v>60</v>
      </c>
      <c r="G1352" t="s">
        <v>69</v>
      </c>
      <c r="H1352" t="s">
        <v>305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t="s">
        <v>22</v>
      </c>
    </row>
    <row r="1353" spans="1:15" x14ac:dyDescent="0.35">
      <c r="A1353" t="s">
        <v>2572</v>
      </c>
      <c r="B1353" s="1">
        <v>45681</v>
      </c>
      <c r="C1353" t="s">
        <v>2303</v>
      </c>
      <c r="D1353" t="s">
        <v>30</v>
      </c>
      <c r="E1353" t="s">
        <v>129</v>
      </c>
      <c r="F1353" t="s">
        <v>19</v>
      </c>
      <c r="G1353" t="s">
        <v>42</v>
      </c>
      <c r="H1353" t="s">
        <v>294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t="s">
        <v>56</v>
      </c>
    </row>
    <row r="1354" spans="1:15" x14ac:dyDescent="0.35">
      <c r="A1354" t="s">
        <v>2573</v>
      </c>
      <c r="B1354" s="1">
        <v>45681</v>
      </c>
      <c r="C1354" t="s">
        <v>75</v>
      </c>
      <c r="D1354" t="s">
        <v>49</v>
      </c>
      <c r="E1354" t="s">
        <v>18</v>
      </c>
      <c r="F1354" t="s">
        <v>19</v>
      </c>
      <c r="G1354" t="s">
        <v>42</v>
      </c>
      <c r="H1354" t="s">
        <v>255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t="s">
        <v>39</v>
      </c>
    </row>
    <row r="1355" spans="1:15" x14ac:dyDescent="0.35">
      <c r="A1355" t="s">
        <v>2574</v>
      </c>
      <c r="B1355" s="1">
        <v>45682</v>
      </c>
      <c r="C1355" t="s">
        <v>2575</v>
      </c>
      <c r="D1355" t="s">
        <v>30</v>
      </c>
      <c r="E1355" t="s">
        <v>166</v>
      </c>
      <c r="F1355" t="s">
        <v>60</v>
      </c>
      <c r="G1355" t="s">
        <v>42</v>
      </c>
      <c r="H1355" t="s">
        <v>46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t="s">
        <v>39</v>
      </c>
    </row>
    <row r="1356" spans="1:15" x14ac:dyDescent="0.35">
      <c r="A1356" t="s">
        <v>2576</v>
      </c>
      <c r="B1356" s="1">
        <v>45683</v>
      </c>
      <c r="C1356" t="s">
        <v>2577</v>
      </c>
      <c r="D1356" t="s">
        <v>49</v>
      </c>
      <c r="E1356" t="s">
        <v>63</v>
      </c>
      <c r="F1356" t="s">
        <v>54</v>
      </c>
      <c r="G1356" t="s">
        <v>42</v>
      </c>
      <c r="H1356" t="s">
        <v>118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t="s">
        <v>34</v>
      </c>
    </row>
    <row r="1357" spans="1:15" x14ac:dyDescent="0.35">
      <c r="A1357" t="s">
        <v>2578</v>
      </c>
      <c r="B1357" s="1">
        <v>45683</v>
      </c>
      <c r="C1357" t="s">
        <v>514</v>
      </c>
      <c r="D1357" t="s">
        <v>17</v>
      </c>
      <c r="E1357" t="s">
        <v>129</v>
      </c>
      <c r="F1357" t="s">
        <v>19</v>
      </c>
      <c r="G1357" t="s">
        <v>20</v>
      </c>
      <c r="H1357" t="s">
        <v>264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t="s">
        <v>56</v>
      </c>
    </row>
    <row r="1358" spans="1:15" x14ac:dyDescent="0.35">
      <c r="A1358" t="s">
        <v>2579</v>
      </c>
      <c r="B1358" s="1">
        <v>45683</v>
      </c>
      <c r="C1358" t="s">
        <v>2580</v>
      </c>
      <c r="D1358" t="s">
        <v>30</v>
      </c>
      <c r="E1358" t="s">
        <v>59</v>
      </c>
      <c r="F1358" t="s">
        <v>60</v>
      </c>
      <c r="G1358" t="s">
        <v>42</v>
      </c>
      <c r="H1358" t="s">
        <v>93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t="s">
        <v>34</v>
      </c>
    </row>
    <row r="1359" spans="1:15" x14ac:dyDescent="0.35">
      <c r="A1359" t="s">
        <v>2581</v>
      </c>
      <c r="B1359" s="1">
        <v>45683</v>
      </c>
      <c r="C1359" t="s">
        <v>254</v>
      </c>
      <c r="D1359" t="s">
        <v>49</v>
      </c>
      <c r="E1359" t="s">
        <v>31</v>
      </c>
      <c r="F1359" t="s">
        <v>19</v>
      </c>
      <c r="G1359" t="s">
        <v>20</v>
      </c>
      <c r="H1359" t="s">
        <v>175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t="s">
        <v>22</v>
      </c>
    </row>
    <row r="1360" spans="1:15" x14ac:dyDescent="0.35">
      <c r="A1360" t="s">
        <v>2582</v>
      </c>
      <c r="B1360" s="1">
        <v>45683</v>
      </c>
      <c r="C1360" t="s">
        <v>2583</v>
      </c>
      <c r="D1360" t="s">
        <v>30</v>
      </c>
      <c r="E1360" t="s">
        <v>135</v>
      </c>
      <c r="F1360" t="s">
        <v>26</v>
      </c>
      <c r="G1360" t="s">
        <v>42</v>
      </c>
      <c r="H1360" t="s">
        <v>255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t="s">
        <v>34</v>
      </c>
    </row>
    <row r="1361" spans="1:15" x14ac:dyDescent="0.35">
      <c r="A1361" t="s">
        <v>2584</v>
      </c>
      <c r="B1361" s="1">
        <v>45683</v>
      </c>
      <c r="C1361" t="s">
        <v>2585</v>
      </c>
      <c r="D1361" t="s">
        <v>30</v>
      </c>
      <c r="E1361" t="s">
        <v>18</v>
      </c>
      <c r="F1361" t="s">
        <v>19</v>
      </c>
      <c r="G1361" t="s">
        <v>20</v>
      </c>
      <c r="H1361" t="s">
        <v>122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t="s">
        <v>56</v>
      </c>
    </row>
    <row r="1362" spans="1:15" x14ac:dyDescent="0.35">
      <c r="A1362" t="s">
        <v>2586</v>
      </c>
      <c r="B1362" s="1">
        <v>45686</v>
      </c>
      <c r="C1362" t="s">
        <v>2587</v>
      </c>
      <c r="D1362" t="s">
        <v>30</v>
      </c>
      <c r="E1362" t="s">
        <v>121</v>
      </c>
      <c r="F1362" t="s">
        <v>68</v>
      </c>
      <c r="G1362" t="s">
        <v>20</v>
      </c>
      <c r="H1362" t="s">
        <v>55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t="s">
        <v>34</v>
      </c>
    </row>
    <row r="1363" spans="1:15" x14ac:dyDescent="0.35">
      <c r="A1363" t="s">
        <v>2588</v>
      </c>
      <c r="B1363" s="1">
        <v>45687</v>
      </c>
      <c r="C1363" t="s">
        <v>1148</v>
      </c>
      <c r="D1363" t="s">
        <v>30</v>
      </c>
      <c r="E1363" t="s">
        <v>37</v>
      </c>
      <c r="F1363" t="s">
        <v>26</v>
      </c>
      <c r="G1363" t="s">
        <v>42</v>
      </c>
      <c r="H1363" t="s">
        <v>294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t="s">
        <v>34</v>
      </c>
    </row>
    <row r="1364" spans="1:15" x14ac:dyDescent="0.35">
      <c r="A1364" t="s">
        <v>2589</v>
      </c>
      <c r="B1364" s="1">
        <v>45689</v>
      </c>
      <c r="C1364" t="s">
        <v>2590</v>
      </c>
      <c r="D1364" t="s">
        <v>30</v>
      </c>
      <c r="E1364" t="s">
        <v>248</v>
      </c>
      <c r="F1364" t="s">
        <v>26</v>
      </c>
      <c r="G1364" t="s">
        <v>69</v>
      </c>
      <c r="H1364" t="s">
        <v>139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t="s">
        <v>39</v>
      </c>
    </row>
    <row r="1365" spans="1:15" x14ac:dyDescent="0.35">
      <c r="A1365" t="s">
        <v>2591</v>
      </c>
      <c r="B1365" s="1">
        <v>45690</v>
      </c>
      <c r="C1365" t="s">
        <v>2592</v>
      </c>
      <c r="D1365" t="s">
        <v>30</v>
      </c>
      <c r="E1365" t="s">
        <v>25</v>
      </c>
      <c r="F1365" t="s">
        <v>26</v>
      </c>
      <c r="G1365" t="s">
        <v>20</v>
      </c>
      <c r="H1365" t="s">
        <v>199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t="s">
        <v>56</v>
      </c>
    </row>
    <row r="1366" spans="1:15" x14ac:dyDescent="0.35">
      <c r="A1366" t="s">
        <v>2593</v>
      </c>
      <c r="B1366" s="1">
        <v>45691</v>
      </c>
      <c r="C1366" t="s">
        <v>2594</v>
      </c>
      <c r="D1366" t="s">
        <v>17</v>
      </c>
      <c r="E1366" t="s">
        <v>67</v>
      </c>
      <c r="F1366" t="s">
        <v>68</v>
      </c>
      <c r="G1366" t="s">
        <v>20</v>
      </c>
      <c r="H1366" t="s">
        <v>199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t="s">
        <v>39</v>
      </c>
    </row>
    <row r="1367" spans="1:15" x14ac:dyDescent="0.35">
      <c r="A1367" t="s">
        <v>2595</v>
      </c>
      <c r="B1367" s="1">
        <v>45691</v>
      </c>
      <c r="C1367" t="s">
        <v>347</v>
      </c>
      <c r="D1367" t="s">
        <v>30</v>
      </c>
      <c r="E1367" t="s">
        <v>37</v>
      </c>
      <c r="F1367" t="s">
        <v>26</v>
      </c>
      <c r="G1367" t="s">
        <v>42</v>
      </c>
      <c r="H1367" t="s">
        <v>64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t="s">
        <v>22</v>
      </c>
    </row>
    <row r="1368" spans="1:15" x14ac:dyDescent="0.35">
      <c r="A1368" t="s">
        <v>2596</v>
      </c>
      <c r="B1368" s="1">
        <v>45693</v>
      </c>
      <c r="C1368" t="s">
        <v>2597</v>
      </c>
      <c r="D1368" t="s">
        <v>30</v>
      </c>
      <c r="E1368" t="s">
        <v>92</v>
      </c>
      <c r="F1368" t="s">
        <v>60</v>
      </c>
      <c r="G1368" t="s">
        <v>69</v>
      </c>
      <c r="H1368" t="s">
        <v>243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t="s">
        <v>39</v>
      </c>
    </row>
    <row r="1369" spans="1:15" x14ac:dyDescent="0.35">
      <c r="A1369" t="s">
        <v>2598</v>
      </c>
      <c r="B1369" s="1">
        <v>45693</v>
      </c>
      <c r="C1369" t="s">
        <v>2599</v>
      </c>
      <c r="D1369" t="s">
        <v>30</v>
      </c>
      <c r="E1369" t="s">
        <v>135</v>
      </c>
      <c r="F1369" t="s">
        <v>26</v>
      </c>
      <c r="G1369" t="s">
        <v>69</v>
      </c>
      <c r="H1369" t="s">
        <v>243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t="s">
        <v>22</v>
      </c>
    </row>
    <row r="1370" spans="1:15" x14ac:dyDescent="0.35">
      <c r="A1370" t="s">
        <v>2600</v>
      </c>
      <c r="B1370" s="1">
        <v>45693</v>
      </c>
      <c r="C1370" t="s">
        <v>2601</v>
      </c>
      <c r="D1370" t="s">
        <v>17</v>
      </c>
      <c r="E1370" t="s">
        <v>31</v>
      </c>
      <c r="F1370" t="s">
        <v>19</v>
      </c>
      <c r="G1370" t="s">
        <v>20</v>
      </c>
      <c r="H1370" t="s">
        <v>27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t="s">
        <v>34</v>
      </c>
    </row>
    <row r="1371" spans="1:15" x14ac:dyDescent="0.35">
      <c r="A1371" t="s">
        <v>2602</v>
      </c>
      <c r="B1371" s="1">
        <v>45693</v>
      </c>
      <c r="C1371" t="s">
        <v>2603</v>
      </c>
      <c r="D1371" t="s">
        <v>30</v>
      </c>
      <c r="E1371" t="s">
        <v>37</v>
      </c>
      <c r="F1371" t="s">
        <v>26</v>
      </c>
      <c r="G1371" t="s">
        <v>69</v>
      </c>
      <c r="H1371" t="s">
        <v>305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t="s">
        <v>39</v>
      </c>
    </row>
    <row r="1372" spans="1:15" x14ac:dyDescent="0.35">
      <c r="A1372" t="s">
        <v>2604</v>
      </c>
      <c r="B1372" s="1">
        <v>45695</v>
      </c>
      <c r="C1372" t="s">
        <v>2605</v>
      </c>
      <c r="D1372" t="s">
        <v>30</v>
      </c>
      <c r="E1372" t="s">
        <v>59</v>
      </c>
      <c r="F1372" t="s">
        <v>60</v>
      </c>
      <c r="G1372" t="s">
        <v>69</v>
      </c>
      <c r="H1372" t="s">
        <v>139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t="s">
        <v>39</v>
      </c>
    </row>
    <row r="1373" spans="1:15" x14ac:dyDescent="0.35">
      <c r="A1373" t="s">
        <v>2606</v>
      </c>
      <c r="B1373" s="1">
        <v>45695</v>
      </c>
      <c r="C1373" t="s">
        <v>2607</v>
      </c>
      <c r="D1373" t="s">
        <v>30</v>
      </c>
      <c r="E1373" t="s">
        <v>31</v>
      </c>
      <c r="F1373" t="s">
        <v>19</v>
      </c>
      <c r="G1373" t="s">
        <v>32</v>
      </c>
      <c r="H1373" t="s">
        <v>101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t="s">
        <v>22</v>
      </c>
    </row>
    <row r="1374" spans="1:15" x14ac:dyDescent="0.35">
      <c r="A1374" t="s">
        <v>2608</v>
      </c>
      <c r="B1374" s="1">
        <v>45696</v>
      </c>
      <c r="C1374" t="s">
        <v>2609</v>
      </c>
      <c r="D1374" t="s">
        <v>30</v>
      </c>
      <c r="E1374" t="s">
        <v>166</v>
      </c>
      <c r="F1374" t="s">
        <v>60</v>
      </c>
      <c r="G1374" t="s">
        <v>20</v>
      </c>
      <c r="H1374" t="s">
        <v>21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t="s">
        <v>34</v>
      </c>
    </row>
    <row r="1375" spans="1:15" x14ac:dyDescent="0.35">
      <c r="A1375" t="s">
        <v>2610</v>
      </c>
      <c r="B1375" s="1">
        <v>45696</v>
      </c>
      <c r="C1375" t="s">
        <v>2611</v>
      </c>
      <c r="D1375" t="s">
        <v>30</v>
      </c>
      <c r="E1375" t="s">
        <v>85</v>
      </c>
      <c r="F1375" t="s">
        <v>60</v>
      </c>
      <c r="G1375" t="s">
        <v>20</v>
      </c>
      <c r="H1375" t="s">
        <v>38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t="s">
        <v>56</v>
      </c>
    </row>
    <row r="1376" spans="1:15" x14ac:dyDescent="0.35">
      <c r="A1376" t="s">
        <v>2612</v>
      </c>
      <c r="B1376" s="1">
        <v>45698</v>
      </c>
      <c r="C1376" t="s">
        <v>2373</v>
      </c>
      <c r="D1376" t="s">
        <v>30</v>
      </c>
      <c r="E1376" t="s">
        <v>53</v>
      </c>
      <c r="F1376" t="s">
        <v>54</v>
      </c>
      <c r="G1376" t="s">
        <v>32</v>
      </c>
      <c r="H1376" t="s">
        <v>115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t="s">
        <v>34</v>
      </c>
    </row>
    <row r="1377" spans="1:15" x14ac:dyDescent="0.35">
      <c r="A1377" t="s">
        <v>2613</v>
      </c>
      <c r="B1377" s="1">
        <v>45698</v>
      </c>
      <c r="C1377" t="s">
        <v>2614</v>
      </c>
      <c r="D1377" t="s">
        <v>49</v>
      </c>
      <c r="E1377" t="s">
        <v>129</v>
      </c>
      <c r="F1377" t="s">
        <v>19</v>
      </c>
      <c r="G1377" t="s">
        <v>69</v>
      </c>
      <c r="H1377" t="s">
        <v>305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t="s">
        <v>56</v>
      </c>
    </row>
    <row r="1378" spans="1:15" x14ac:dyDescent="0.35">
      <c r="A1378" t="s">
        <v>2615</v>
      </c>
      <c r="B1378" s="1">
        <v>45699</v>
      </c>
      <c r="C1378" t="s">
        <v>2616</v>
      </c>
      <c r="D1378" t="s">
        <v>30</v>
      </c>
      <c r="E1378" t="s">
        <v>129</v>
      </c>
      <c r="F1378" t="s">
        <v>19</v>
      </c>
      <c r="G1378" t="s">
        <v>69</v>
      </c>
      <c r="H1378" t="s">
        <v>98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t="s">
        <v>39</v>
      </c>
    </row>
    <row r="1379" spans="1:15" x14ac:dyDescent="0.35">
      <c r="A1379" t="s">
        <v>2617</v>
      </c>
      <c r="B1379" s="1">
        <v>45699</v>
      </c>
      <c r="C1379" t="s">
        <v>2618</v>
      </c>
      <c r="D1379" t="s">
        <v>17</v>
      </c>
      <c r="E1379" t="s">
        <v>129</v>
      </c>
      <c r="F1379" t="s">
        <v>19</v>
      </c>
      <c r="G1379" t="s">
        <v>32</v>
      </c>
      <c r="H1379" t="s">
        <v>132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t="s">
        <v>22</v>
      </c>
    </row>
    <row r="1380" spans="1:15" x14ac:dyDescent="0.35">
      <c r="A1380" t="s">
        <v>2619</v>
      </c>
      <c r="B1380" s="1">
        <v>45700</v>
      </c>
      <c r="C1380" t="s">
        <v>567</v>
      </c>
      <c r="D1380" t="s">
        <v>30</v>
      </c>
      <c r="E1380" t="s">
        <v>31</v>
      </c>
      <c r="F1380" t="s">
        <v>19</v>
      </c>
      <c r="G1380" t="s">
        <v>42</v>
      </c>
      <c r="H1380" t="s">
        <v>234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t="s">
        <v>34</v>
      </c>
    </row>
    <row r="1381" spans="1:15" x14ac:dyDescent="0.35">
      <c r="A1381" t="s">
        <v>2620</v>
      </c>
      <c r="B1381" s="1">
        <v>45700</v>
      </c>
      <c r="C1381" t="s">
        <v>1669</v>
      </c>
      <c r="D1381" t="s">
        <v>30</v>
      </c>
      <c r="E1381" t="s">
        <v>129</v>
      </c>
      <c r="F1381" t="s">
        <v>19</v>
      </c>
      <c r="G1381" t="s">
        <v>42</v>
      </c>
      <c r="H1381" t="s">
        <v>43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t="s">
        <v>39</v>
      </c>
    </row>
    <row r="1382" spans="1:15" x14ac:dyDescent="0.35">
      <c r="A1382" t="s">
        <v>2621</v>
      </c>
      <c r="B1382" s="1">
        <v>45702</v>
      </c>
      <c r="C1382" t="s">
        <v>2622</v>
      </c>
      <c r="D1382" t="s">
        <v>30</v>
      </c>
      <c r="E1382" t="s">
        <v>135</v>
      </c>
      <c r="F1382" t="s">
        <v>26</v>
      </c>
      <c r="G1382" t="s">
        <v>42</v>
      </c>
      <c r="H1382" t="s">
        <v>255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t="s">
        <v>34</v>
      </c>
    </row>
    <row r="1383" spans="1:15" x14ac:dyDescent="0.35">
      <c r="A1383" t="s">
        <v>2623</v>
      </c>
      <c r="B1383" s="1">
        <v>45702</v>
      </c>
      <c r="C1383" t="s">
        <v>2429</v>
      </c>
      <c r="D1383" t="s">
        <v>30</v>
      </c>
      <c r="E1383" t="s">
        <v>18</v>
      </c>
      <c r="F1383" t="s">
        <v>19</v>
      </c>
      <c r="G1383" t="s">
        <v>42</v>
      </c>
      <c r="H1383" t="s">
        <v>234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t="s">
        <v>34</v>
      </c>
    </row>
    <row r="1384" spans="1:15" x14ac:dyDescent="0.35">
      <c r="A1384" t="s">
        <v>2624</v>
      </c>
      <c r="B1384" s="1">
        <v>45703</v>
      </c>
      <c r="C1384" t="s">
        <v>2625</v>
      </c>
      <c r="D1384" t="s">
        <v>17</v>
      </c>
      <c r="E1384" t="s">
        <v>31</v>
      </c>
      <c r="F1384" t="s">
        <v>19</v>
      </c>
      <c r="G1384" t="s">
        <v>32</v>
      </c>
      <c r="H1384" t="s">
        <v>82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t="s">
        <v>56</v>
      </c>
    </row>
    <row r="1385" spans="1:15" x14ac:dyDescent="0.35">
      <c r="A1385" t="s">
        <v>2626</v>
      </c>
      <c r="B1385" s="1">
        <v>45703</v>
      </c>
      <c r="C1385" t="s">
        <v>1755</v>
      </c>
      <c r="D1385" t="s">
        <v>49</v>
      </c>
      <c r="E1385" t="s">
        <v>129</v>
      </c>
      <c r="F1385" t="s">
        <v>19</v>
      </c>
      <c r="G1385" t="s">
        <v>20</v>
      </c>
      <c r="H1385" t="s">
        <v>21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t="s">
        <v>34</v>
      </c>
    </row>
    <row r="1386" spans="1:15" x14ac:dyDescent="0.35">
      <c r="A1386" t="s">
        <v>2627</v>
      </c>
      <c r="B1386" s="1">
        <v>45705</v>
      </c>
      <c r="C1386" t="s">
        <v>1292</v>
      </c>
      <c r="D1386" t="s">
        <v>17</v>
      </c>
      <c r="E1386" t="s">
        <v>85</v>
      </c>
      <c r="F1386" t="s">
        <v>60</v>
      </c>
      <c r="G1386" t="s">
        <v>20</v>
      </c>
      <c r="H1386" t="s">
        <v>38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t="s">
        <v>34</v>
      </c>
    </row>
    <row r="1387" spans="1:15" x14ac:dyDescent="0.35">
      <c r="A1387" t="s">
        <v>2628</v>
      </c>
      <c r="B1387" s="1">
        <v>45706</v>
      </c>
      <c r="C1387" t="s">
        <v>2629</v>
      </c>
      <c r="D1387" t="s">
        <v>30</v>
      </c>
      <c r="E1387" t="s">
        <v>37</v>
      </c>
      <c r="F1387" t="s">
        <v>26</v>
      </c>
      <c r="G1387" t="s">
        <v>42</v>
      </c>
      <c r="H1387" t="s">
        <v>64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t="s">
        <v>39</v>
      </c>
    </row>
    <row r="1388" spans="1:15" x14ac:dyDescent="0.35">
      <c r="A1388" t="s">
        <v>2630</v>
      </c>
      <c r="B1388" s="1">
        <v>45707</v>
      </c>
      <c r="C1388" t="s">
        <v>2631</v>
      </c>
      <c r="D1388" t="s">
        <v>30</v>
      </c>
      <c r="E1388" t="s">
        <v>166</v>
      </c>
      <c r="F1388" t="s">
        <v>60</v>
      </c>
      <c r="G1388" t="s">
        <v>69</v>
      </c>
      <c r="H1388" t="s">
        <v>163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t="s">
        <v>34</v>
      </c>
    </row>
    <row r="1389" spans="1:15" x14ac:dyDescent="0.35">
      <c r="A1389" t="s">
        <v>2632</v>
      </c>
      <c r="B1389" s="1">
        <v>45708</v>
      </c>
      <c r="C1389" t="s">
        <v>619</v>
      </c>
      <c r="D1389" t="s">
        <v>17</v>
      </c>
      <c r="E1389" t="s">
        <v>85</v>
      </c>
      <c r="F1389" t="s">
        <v>60</v>
      </c>
      <c r="G1389" t="s">
        <v>32</v>
      </c>
      <c r="H1389" t="s">
        <v>73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t="s">
        <v>22</v>
      </c>
    </row>
    <row r="1390" spans="1:15" x14ac:dyDescent="0.35">
      <c r="A1390" t="s">
        <v>2633</v>
      </c>
      <c r="B1390" s="1">
        <v>45708</v>
      </c>
      <c r="C1390" t="s">
        <v>2634</v>
      </c>
      <c r="D1390" t="s">
        <v>30</v>
      </c>
      <c r="E1390" t="s">
        <v>166</v>
      </c>
      <c r="F1390" t="s">
        <v>60</v>
      </c>
      <c r="G1390" t="s">
        <v>32</v>
      </c>
      <c r="H1390" t="s">
        <v>101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t="s">
        <v>34</v>
      </c>
    </row>
    <row r="1391" spans="1:15" x14ac:dyDescent="0.35">
      <c r="A1391" t="s">
        <v>2635</v>
      </c>
      <c r="B1391" s="1">
        <v>45708</v>
      </c>
      <c r="C1391" t="s">
        <v>801</v>
      </c>
      <c r="D1391" t="s">
        <v>49</v>
      </c>
      <c r="E1391" t="s">
        <v>248</v>
      </c>
      <c r="F1391" t="s">
        <v>26</v>
      </c>
      <c r="G1391" t="s">
        <v>20</v>
      </c>
      <c r="H1391" t="s">
        <v>264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t="s">
        <v>34</v>
      </c>
    </row>
    <row r="1392" spans="1:15" x14ac:dyDescent="0.35">
      <c r="A1392" t="s">
        <v>2636</v>
      </c>
      <c r="B1392" s="1">
        <v>45708</v>
      </c>
      <c r="C1392" t="s">
        <v>2637</v>
      </c>
      <c r="D1392" t="s">
        <v>30</v>
      </c>
      <c r="E1392" t="s">
        <v>135</v>
      </c>
      <c r="F1392" t="s">
        <v>26</v>
      </c>
      <c r="G1392" t="s">
        <v>32</v>
      </c>
      <c r="H1392" t="s">
        <v>110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t="s">
        <v>39</v>
      </c>
    </row>
    <row r="1393" spans="1:15" x14ac:dyDescent="0.35">
      <c r="A1393" t="s">
        <v>2638</v>
      </c>
      <c r="B1393" s="1">
        <v>45709</v>
      </c>
      <c r="C1393" t="s">
        <v>2639</v>
      </c>
      <c r="D1393" t="s">
        <v>49</v>
      </c>
      <c r="E1393" t="s">
        <v>31</v>
      </c>
      <c r="F1393" t="s">
        <v>19</v>
      </c>
      <c r="G1393" t="s">
        <v>69</v>
      </c>
      <c r="H1393" t="s">
        <v>86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t="s">
        <v>34</v>
      </c>
    </row>
    <row r="1394" spans="1:15" x14ac:dyDescent="0.35">
      <c r="A1394" t="s">
        <v>2640</v>
      </c>
      <c r="B1394" s="1">
        <v>45709</v>
      </c>
      <c r="C1394" t="s">
        <v>2641</v>
      </c>
      <c r="D1394" t="s">
        <v>30</v>
      </c>
      <c r="E1394" t="s">
        <v>148</v>
      </c>
      <c r="F1394" t="s">
        <v>60</v>
      </c>
      <c r="G1394" t="s">
        <v>20</v>
      </c>
      <c r="H1394" t="s">
        <v>27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t="s">
        <v>34</v>
      </c>
    </row>
    <row r="1395" spans="1:15" x14ac:dyDescent="0.35">
      <c r="A1395" t="s">
        <v>2642</v>
      </c>
      <c r="B1395" s="1">
        <v>45710</v>
      </c>
      <c r="C1395" t="s">
        <v>1700</v>
      </c>
      <c r="D1395" t="s">
        <v>30</v>
      </c>
      <c r="E1395" t="s">
        <v>59</v>
      </c>
      <c r="F1395" t="s">
        <v>60</v>
      </c>
      <c r="G1395" t="s">
        <v>69</v>
      </c>
      <c r="H1395" t="s">
        <v>86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t="s">
        <v>34</v>
      </c>
    </row>
    <row r="1396" spans="1:15" x14ac:dyDescent="0.35">
      <c r="A1396" t="s">
        <v>2643</v>
      </c>
      <c r="B1396" s="1">
        <v>45710</v>
      </c>
      <c r="C1396" t="s">
        <v>2644</v>
      </c>
      <c r="D1396" t="s">
        <v>30</v>
      </c>
      <c r="E1396" t="s">
        <v>248</v>
      </c>
      <c r="F1396" t="s">
        <v>26</v>
      </c>
      <c r="G1396" t="s">
        <v>20</v>
      </c>
      <c r="H1396" t="s">
        <v>27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t="s">
        <v>22</v>
      </c>
    </row>
    <row r="1397" spans="1:15" x14ac:dyDescent="0.35">
      <c r="A1397" t="s">
        <v>2645</v>
      </c>
      <c r="B1397" s="1">
        <v>45712</v>
      </c>
      <c r="C1397" t="s">
        <v>2646</v>
      </c>
      <c r="D1397" t="s">
        <v>17</v>
      </c>
      <c r="E1397" t="s">
        <v>135</v>
      </c>
      <c r="F1397" t="s">
        <v>26</v>
      </c>
      <c r="G1397" t="s">
        <v>42</v>
      </c>
      <c r="H1397" t="s">
        <v>255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t="s">
        <v>22</v>
      </c>
    </row>
    <row r="1398" spans="1:15" x14ac:dyDescent="0.35">
      <c r="A1398" t="s">
        <v>2647</v>
      </c>
      <c r="B1398" s="1">
        <v>45713</v>
      </c>
      <c r="C1398" t="s">
        <v>2648</v>
      </c>
      <c r="D1398" t="s">
        <v>30</v>
      </c>
      <c r="E1398" t="s">
        <v>59</v>
      </c>
      <c r="F1398" t="s">
        <v>60</v>
      </c>
      <c r="G1398" t="s">
        <v>20</v>
      </c>
      <c r="H1398" t="s">
        <v>21</v>
      </c>
      <c r="I1398">
        <v>6</v>
      </c>
      <c r="J1398">
        <v>228</v>
      </c>
      <c r="K1398">
        <v>15</v>
      </c>
      <c r="L1398">
        <v>1162.8</v>
      </c>
      <c r="M1398">
        <v>21.34</v>
      </c>
      <c r="N1398">
        <v>389.06</v>
      </c>
      <c r="O1398" t="s">
        <v>34</v>
      </c>
    </row>
    <row r="1399" spans="1:15" x14ac:dyDescent="0.35">
      <c r="A1399" t="s">
        <v>2649</v>
      </c>
      <c r="B1399" s="1">
        <v>45713</v>
      </c>
      <c r="C1399" t="s">
        <v>66</v>
      </c>
      <c r="D1399" t="s">
        <v>30</v>
      </c>
      <c r="E1399" t="s">
        <v>169</v>
      </c>
      <c r="F1399" t="s">
        <v>68</v>
      </c>
      <c r="G1399" t="s">
        <v>20</v>
      </c>
      <c r="H1399" t="s">
        <v>21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t="s">
        <v>39</v>
      </c>
    </row>
    <row r="1400" spans="1:15" x14ac:dyDescent="0.35">
      <c r="A1400" t="s">
        <v>2650</v>
      </c>
      <c r="B1400" s="1">
        <v>45714</v>
      </c>
      <c r="C1400" t="s">
        <v>2651</v>
      </c>
      <c r="D1400" t="s">
        <v>30</v>
      </c>
      <c r="E1400" t="s">
        <v>31</v>
      </c>
      <c r="F1400" t="s">
        <v>19</v>
      </c>
      <c r="G1400" t="s">
        <v>32</v>
      </c>
      <c r="H1400" t="s">
        <v>149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t="s">
        <v>34</v>
      </c>
    </row>
    <row r="1401" spans="1:15" x14ac:dyDescent="0.35">
      <c r="A1401" t="s">
        <v>2652</v>
      </c>
      <c r="B1401" s="1">
        <v>45714</v>
      </c>
      <c r="C1401" t="s">
        <v>16</v>
      </c>
      <c r="D1401" t="s">
        <v>49</v>
      </c>
      <c r="E1401" t="s">
        <v>85</v>
      </c>
      <c r="F1401" t="s">
        <v>60</v>
      </c>
      <c r="G1401" t="s">
        <v>20</v>
      </c>
      <c r="H1401" t="s">
        <v>199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t="s">
        <v>56</v>
      </c>
    </row>
    <row r="1402" spans="1:15" x14ac:dyDescent="0.35">
      <c r="A1402" t="s">
        <v>2653</v>
      </c>
      <c r="B1402" s="1">
        <v>45715</v>
      </c>
      <c r="C1402" t="s">
        <v>2654</v>
      </c>
      <c r="D1402" t="s">
        <v>49</v>
      </c>
      <c r="E1402" t="s">
        <v>67</v>
      </c>
      <c r="F1402" t="s">
        <v>68</v>
      </c>
      <c r="G1402" t="s">
        <v>20</v>
      </c>
      <c r="H1402" t="s">
        <v>170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t="s">
        <v>34</v>
      </c>
    </row>
    <row r="1403" spans="1:15" x14ac:dyDescent="0.35">
      <c r="A1403" t="s">
        <v>2655</v>
      </c>
      <c r="B1403" s="1">
        <v>45716</v>
      </c>
      <c r="C1403" t="s">
        <v>2656</v>
      </c>
      <c r="D1403" t="s">
        <v>49</v>
      </c>
      <c r="E1403" t="s">
        <v>18</v>
      </c>
      <c r="F1403" t="s">
        <v>19</v>
      </c>
      <c r="G1403" t="s">
        <v>42</v>
      </c>
      <c r="H1403" t="s">
        <v>93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t="s">
        <v>34</v>
      </c>
    </row>
    <row r="1404" spans="1:15" x14ac:dyDescent="0.35">
      <c r="A1404" t="s">
        <v>2657</v>
      </c>
      <c r="B1404" s="1">
        <v>45717</v>
      </c>
      <c r="C1404" t="s">
        <v>2658</v>
      </c>
      <c r="D1404" t="s">
        <v>30</v>
      </c>
      <c r="E1404" t="s">
        <v>138</v>
      </c>
      <c r="F1404" t="s">
        <v>54</v>
      </c>
      <c r="G1404" t="s">
        <v>20</v>
      </c>
      <c r="H1404" t="s">
        <v>38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t="s">
        <v>22</v>
      </c>
    </row>
    <row r="1405" spans="1:15" x14ac:dyDescent="0.35">
      <c r="A1405" t="s">
        <v>2659</v>
      </c>
      <c r="B1405" s="1">
        <v>45717</v>
      </c>
      <c r="C1405" t="s">
        <v>950</v>
      </c>
      <c r="D1405" t="s">
        <v>49</v>
      </c>
      <c r="E1405" t="s">
        <v>18</v>
      </c>
      <c r="F1405" t="s">
        <v>19</v>
      </c>
      <c r="G1405" t="s">
        <v>20</v>
      </c>
      <c r="H1405" t="s">
        <v>175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t="s">
        <v>34</v>
      </c>
    </row>
    <row r="1406" spans="1:15" x14ac:dyDescent="0.35">
      <c r="A1406" t="s">
        <v>2660</v>
      </c>
      <c r="B1406" s="1">
        <v>45719</v>
      </c>
      <c r="C1406" t="s">
        <v>1787</v>
      </c>
      <c r="D1406" t="s">
        <v>30</v>
      </c>
      <c r="E1406" t="s">
        <v>248</v>
      </c>
      <c r="F1406" t="s">
        <v>26</v>
      </c>
      <c r="G1406" t="s">
        <v>32</v>
      </c>
      <c r="H1406" t="s">
        <v>110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t="s">
        <v>34</v>
      </c>
    </row>
    <row r="1407" spans="1:15" x14ac:dyDescent="0.35">
      <c r="A1407" t="s">
        <v>2661</v>
      </c>
      <c r="B1407" s="1">
        <v>45721</v>
      </c>
      <c r="C1407" t="s">
        <v>2662</v>
      </c>
      <c r="D1407" t="s">
        <v>17</v>
      </c>
      <c r="E1407" t="s">
        <v>248</v>
      </c>
      <c r="F1407" t="s">
        <v>26</v>
      </c>
      <c r="G1407" t="s">
        <v>42</v>
      </c>
      <c r="H1407" t="s">
        <v>93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t="s">
        <v>39</v>
      </c>
    </row>
    <row r="1408" spans="1:15" x14ac:dyDescent="0.35">
      <c r="A1408" t="s">
        <v>2663</v>
      </c>
      <c r="B1408" s="1">
        <v>45721</v>
      </c>
      <c r="C1408" t="s">
        <v>2664</v>
      </c>
      <c r="D1408" t="s">
        <v>30</v>
      </c>
      <c r="E1408" t="s">
        <v>169</v>
      </c>
      <c r="F1408" t="s">
        <v>68</v>
      </c>
      <c r="G1408" t="s">
        <v>69</v>
      </c>
      <c r="H1408" t="s">
        <v>79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t="s">
        <v>22</v>
      </c>
    </row>
    <row r="1409" spans="1:15" x14ac:dyDescent="0.35">
      <c r="A1409" t="s">
        <v>2665</v>
      </c>
      <c r="B1409" s="1">
        <v>45721</v>
      </c>
      <c r="C1409" t="s">
        <v>2666</v>
      </c>
      <c r="D1409" t="s">
        <v>30</v>
      </c>
      <c r="E1409" t="s">
        <v>129</v>
      </c>
      <c r="F1409" t="s">
        <v>19</v>
      </c>
      <c r="G1409" t="s">
        <v>20</v>
      </c>
      <c r="H1409" t="s">
        <v>199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t="s">
        <v>34</v>
      </c>
    </row>
    <row r="1410" spans="1:15" x14ac:dyDescent="0.35">
      <c r="A1410" t="s">
        <v>2667</v>
      </c>
      <c r="B1410" s="1">
        <v>45721</v>
      </c>
      <c r="C1410" t="s">
        <v>2668</v>
      </c>
      <c r="D1410" t="s">
        <v>17</v>
      </c>
      <c r="E1410" t="s">
        <v>31</v>
      </c>
      <c r="F1410" t="s">
        <v>19</v>
      </c>
      <c r="G1410" t="s">
        <v>20</v>
      </c>
      <c r="H1410" t="s">
        <v>38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t="s">
        <v>39</v>
      </c>
    </row>
    <row r="1411" spans="1:15" x14ac:dyDescent="0.35">
      <c r="A1411" t="s">
        <v>2669</v>
      </c>
      <c r="B1411" s="1">
        <v>45722</v>
      </c>
      <c r="C1411" t="s">
        <v>2415</v>
      </c>
      <c r="D1411" t="s">
        <v>30</v>
      </c>
      <c r="E1411" t="s">
        <v>31</v>
      </c>
      <c r="F1411" t="s">
        <v>19</v>
      </c>
      <c r="G1411" t="s">
        <v>32</v>
      </c>
      <c r="H1411" t="s">
        <v>73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t="s">
        <v>39</v>
      </c>
    </row>
    <row r="1412" spans="1:15" x14ac:dyDescent="0.35">
      <c r="A1412" t="s">
        <v>2670</v>
      </c>
      <c r="B1412" s="1">
        <v>45723</v>
      </c>
      <c r="C1412" t="s">
        <v>547</v>
      </c>
      <c r="D1412" t="s">
        <v>30</v>
      </c>
      <c r="E1412" t="s">
        <v>148</v>
      </c>
      <c r="F1412" t="s">
        <v>60</v>
      </c>
      <c r="G1412" t="s">
        <v>32</v>
      </c>
      <c r="H1412" t="s">
        <v>101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t="s">
        <v>56</v>
      </c>
    </row>
    <row r="1413" spans="1:15" x14ac:dyDescent="0.35">
      <c r="A1413" t="s">
        <v>2671</v>
      </c>
      <c r="B1413" s="1">
        <v>45723</v>
      </c>
      <c r="C1413" t="s">
        <v>2672</v>
      </c>
      <c r="D1413" t="s">
        <v>49</v>
      </c>
      <c r="E1413" t="s">
        <v>18</v>
      </c>
      <c r="F1413" t="s">
        <v>19</v>
      </c>
      <c r="G1413" t="s">
        <v>32</v>
      </c>
      <c r="H1413" t="s">
        <v>149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t="s">
        <v>34</v>
      </c>
    </row>
    <row r="1414" spans="1:15" x14ac:dyDescent="0.35">
      <c r="A1414" t="s">
        <v>2673</v>
      </c>
      <c r="B1414" s="1">
        <v>45723</v>
      </c>
      <c r="C1414" t="s">
        <v>2674</v>
      </c>
      <c r="D1414" t="s">
        <v>30</v>
      </c>
      <c r="E1414" t="s">
        <v>37</v>
      </c>
      <c r="F1414" t="s">
        <v>26</v>
      </c>
      <c r="G1414" t="s">
        <v>20</v>
      </c>
      <c r="H1414" t="s">
        <v>38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t="s">
        <v>56</v>
      </c>
    </row>
    <row r="1415" spans="1:15" x14ac:dyDescent="0.35">
      <c r="A1415" t="s">
        <v>2675</v>
      </c>
      <c r="B1415" s="1">
        <v>45724</v>
      </c>
      <c r="C1415" t="s">
        <v>2676</v>
      </c>
      <c r="D1415" t="s">
        <v>17</v>
      </c>
      <c r="E1415" t="s">
        <v>148</v>
      </c>
      <c r="F1415" t="s">
        <v>60</v>
      </c>
      <c r="G1415" t="s">
        <v>42</v>
      </c>
      <c r="H1415" t="s">
        <v>371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t="s">
        <v>22</v>
      </c>
    </row>
    <row r="1416" spans="1:15" x14ac:dyDescent="0.35">
      <c r="A1416" t="s">
        <v>2677</v>
      </c>
      <c r="B1416" s="1">
        <v>45725</v>
      </c>
      <c r="C1416" t="s">
        <v>1177</v>
      </c>
      <c r="D1416" t="s">
        <v>49</v>
      </c>
      <c r="E1416" t="s">
        <v>25</v>
      </c>
      <c r="F1416" t="s">
        <v>26</v>
      </c>
      <c r="G1416" t="s">
        <v>32</v>
      </c>
      <c r="H1416" t="s">
        <v>33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t="s">
        <v>39</v>
      </c>
    </row>
    <row r="1417" spans="1:15" x14ac:dyDescent="0.35">
      <c r="A1417" t="s">
        <v>2678</v>
      </c>
      <c r="B1417" s="1">
        <v>45725</v>
      </c>
      <c r="C1417" t="s">
        <v>2679</v>
      </c>
      <c r="D1417" t="s">
        <v>17</v>
      </c>
      <c r="E1417" t="s">
        <v>18</v>
      </c>
      <c r="F1417" t="s">
        <v>19</v>
      </c>
      <c r="G1417" t="s">
        <v>32</v>
      </c>
      <c r="H1417" t="s">
        <v>101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t="s">
        <v>34</v>
      </c>
    </row>
    <row r="1418" spans="1:15" x14ac:dyDescent="0.35">
      <c r="A1418" t="s">
        <v>2680</v>
      </c>
      <c r="B1418" s="1">
        <v>45726</v>
      </c>
      <c r="C1418" t="s">
        <v>1653</v>
      </c>
      <c r="D1418" t="s">
        <v>30</v>
      </c>
      <c r="E1418" t="s">
        <v>53</v>
      </c>
      <c r="F1418" t="s">
        <v>54</v>
      </c>
      <c r="G1418" t="s">
        <v>42</v>
      </c>
      <c r="H1418" t="s">
        <v>89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t="s">
        <v>34</v>
      </c>
    </row>
    <row r="1419" spans="1:15" x14ac:dyDescent="0.35">
      <c r="A1419" t="s">
        <v>2681</v>
      </c>
      <c r="B1419" s="1">
        <v>45727</v>
      </c>
      <c r="C1419" t="s">
        <v>2682</v>
      </c>
      <c r="D1419" t="s">
        <v>30</v>
      </c>
      <c r="E1419" t="s">
        <v>121</v>
      </c>
      <c r="F1419" t="s">
        <v>68</v>
      </c>
      <c r="G1419" t="s">
        <v>20</v>
      </c>
      <c r="H1419" t="s">
        <v>106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t="s">
        <v>22</v>
      </c>
    </row>
    <row r="1420" spans="1:15" x14ac:dyDescent="0.35">
      <c r="A1420" t="s">
        <v>2683</v>
      </c>
      <c r="B1420" s="1">
        <v>45728</v>
      </c>
      <c r="C1420" t="s">
        <v>389</v>
      </c>
      <c r="D1420" t="s">
        <v>49</v>
      </c>
      <c r="E1420" t="s">
        <v>169</v>
      </c>
      <c r="F1420" t="s">
        <v>68</v>
      </c>
      <c r="G1420" t="s">
        <v>20</v>
      </c>
      <c r="H1420" t="s">
        <v>264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t="s">
        <v>34</v>
      </c>
    </row>
    <row r="1421" spans="1:15" x14ac:dyDescent="0.35">
      <c r="A1421" t="s">
        <v>2684</v>
      </c>
      <c r="B1421" s="1">
        <v>45730</v>
      </c>
      <c r="C1421" t="s">
        <v>2685</v>
      </c>
      <c r="D1421" t="s">
        <v>49</v>
      </c>
      <c r="E1421" t="s">
        <v>31</v>
      </c>
      <c r="F1421" t="s">
        <v>19</v>
      </c>
      <c r="G1421" t="s">
        <v>69</v>
      </c>
      <c r="H1421" t="s">
        <v>70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t="s">
        <v>56</v>
      </c>
    </row>
    <row r="1422" spans="1:15" x14ac:dyDescent="0.35">
      <c r="A1422" t="s">
        <v>2686</v>
      </c>
      <c r="B1422" s="1">
        <v>45731</v>
      </c>
      <c r="C1422" t="s">
        <v>1164</v>
      </c>
      <c r="D1422" t="s">
        <v>49</v>
      </c>
      <c r="E1422" t="s">
        <v>31</v>
      </c>
      <c r="F1422" t="s">
        <v>19</v>
      </c>
      <c r="G1422" t="s">
        <v>32</v>
      </c>
      <c r="H1422" t="s">
        <v>110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t="s">
        <v>56</v>
      </c>
    </row>
    <row r="1423" spans="1:15" x14ac:dyDescent="0.35">
      <c r="A1423" t="s">
        <v>2687</v>
      </c>
      <c r="B1423" s="1">
        <v>45731</v>
      </c>
      <c r="C1423" t="s">
        <v>2688</v>
      </c>
      <c r="D1423" t="s">
        <v>30</v>
      </c>
      <c r="E1423" t="s">
        <v>18</v>
      </c>
      <c r="F1423" t="s">
        <v>19</v>
      </c>
      <c r="G1423" t="s">
        <v>69</v>
      </c>
      <c r="H1423" t="s">
        <v>243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t="s">
        <v>39</v>
      </c>
    </row>
    <row r="1424" spans="1:15" x14ac:dyDescent="0.35">
      <c r="A1424" t="s">
        <v>2689</v>
      </c>
      <c r="B1424" s="1">
        <v>45731</v>
      </c>
      <c r="C1424" t="s">
        <v>831</v>
      </c>
      <c r="D1424" t="s">
        <v>30</v>
      </c>
      <c r="E1424" t="s">
        <v>135</v>
      </c>
      <c r="F1424" t="s">
        <v>26</v>
      </c>
      <c r="G1424" t="s">
        <v>42</v>
      </c>
      <c r="H1424" t="s">
        <v>46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t="s">
        <v>39</v>
      </c>
    </row>
    <row r="1425" spans="1:15" x14ac:dyDescent="0.35">
      <c r="A1425" t="s">
        <v>2690</v>
      </c>
      <c r="B1425" s="1">
        <v>45732</v>
      </c>
      <c r="C1425" t="s">
        <v>2691</v>
      </c>
      <c r="D1425" t="s">
        <v>49</v>
      </c>
      <c r="E1425" t="s">
        <v>76</v>
      </c>
      <c r="F1425" t="s">
        <v>26</v>
      </c>
      <c r="G1425" t="s">
        <v>69</v>
      </c>
      <c r="H1425" t="s">
        <v>160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t="s">
        <v>56</v>
      </c>
    </row>
    <row r="1426" spans="1:15" x14ac:dyDescent="0.35">
      <c r="A1426" t="s">
        <v>2692</v>
      </c>
      <c r="B1426" s="1">
        <v>45732</v>
      </c>
      <c r="C1426" t="s">
        <v>2693</v>
      </c>
      <c r="D1426" t="s">
        <v>49</v>
      </c>
      <c r="E1426" t="s">
        <v>37</v>
      </c>
      <c r="F1426" t="s">
        <v>26</v>
      </c>
      <c r="G1426" t="s">
        <v>20</v>
      </c>
      <c r="H1426" t="s">
        <v>38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t="s">
        <v>34</v>
      </c>
    </row>
    <row r="1427" spans="1:15" x14ac:dyDescent="0.35">
      <c r="A1427" t="s">
        <v>2694</v>
      </c>
      <c r="B1427" s="1">
        <v>45732</v>
      </c>
      <c r="C1427" t="s">
        <v>1227</v>
      </c>
      <c r="D1427" t="s">
        <v>49</v>
      </c>
      <c r="E1427" t="s">
        <v>31</v>
      </c>
      <c r="F1427" t="s">
        <v>19</v>
      </c>
      <c r="G1427" t="s">
        <v>69</v>
      </c>
      <c r="H1427" t="s">
        <v>79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t="s">
        <v>39</v>
      </c>
    </row>
    <row r="1428" spans="1:15" x14ac:dyDescent="0.35">
      <c r="A1428" t="s">
        <v>2695</v>
      </c>
      <c r="B1428" s="1">
        <v>45733</v>
      </c>
      <c r="C1428" t="s">
        <v>2696</v>
      </c>
      <c r="D1428" t="s">
        <v>30</v>
      </c>
      <c r="E1428" t="s">
        <v>248</v>
      </c>
      <c r="F1428" t="s">
        <v>26</v>
      </c>
      <c r="G1428" t="s">
        <v>42</v>
      </c>
      <c r="H1428" t="s">
        <v>371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t="s">
        <v>39</v>
      </c>
    </row>
    <row r="1429" spans="1:15" x14ac:dyDescent="0.35">
      <c r="A1429" t="s">
        <v>2697</v>
      </c>
      <c r="B1429" s="1">
        <v>45734</v>
      </c>
      <c r="C1429" t="s">
        <v>413</v>
      </c>
      <c r="D1429" t="s">
        <v>30</v>
      </c>
      <c r="E1429" t="s">
        <v>85</v>
      </c>
      <c r="F1429" t="s">
        <v>60</v>
      </c>
      <c r="G1429" t="s">
        <v>69</v>
      </c>
      <c r="H1429" t="s">
        <v>163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t="s">
        <v>39</v>
      </c>
    </row>
    <row r="1430" spans="1:15" x14ac:dyDescent="0.35">
      <c r="A1430" t="s">
        <v>2698</v>
      </c>
      <c r="B1430" s="1">
        <v>45734</v>
      </c>
      <c r="C1430" t="s">
        <v>2699</v>
      </c>
      <c r="D1430" t="s">
        <v>17</v>
      </c>
      <c r="E1430" t="s">
        <v>63</v>
      </c>
      <c r="F1430" t="s">
        <v>54</v>
      </c>
      <c r="G1430" t="s">
        <v>20</v>
      </c>
      <c r="H1430" t="s">
        <v>106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t="s">
        <v>39</v>
      </c>
    </row>
    <row r="1431" spans="1:15" x14ac:dyDescent="0.35">
      <c r="A1431" t="s">
        <v>2700</v>
      </c>
      <c r="B1431" s="1">
        <v>45735</v>
      </c>
      <c r="C1431" t="s">
        <v>2701</v>
      </c>
      <c r="D1431" t="s">
        <v>30</v>
      </c>
      <c r="E1431" t="s">
        <v>31</v>
      </c>
      <c r="F1431" t="s">
        <v>19</v>
      </c>
      <c r="G1431" t="s">
        <v>20</v>
      </c>
      <c r="H1431" t="s">
        <v>38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t="s">
        <v>39</v>
      </c>
    </row>
    <row r="1432" spans="1:15" x14ac:dyDescent="0.35">
      <c r="A1432" t="s">
        <v>2702</v>
      </c>
      <c r="B1432" s="1">
        <v>45736</v>
      </c>
      <c r="C1432" t="s">
        <v>2703</v>
      </c>
      <c r="D1432" t="s">
        <v>30</v>
      </c>
      <c r="E1432" t="s">
        <v>166</v>
      </c>
      <c r="F1432" t="s">
        <v>60</v>
      </c>
      <c r="G1432" t="s">
        <v>42</v>
      </c>
      <c r="H1432" t="s">
        <v>255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t="s">
        <v>22</v>
      </c>
    </row>
    <row r="1433" spans="1:15" x14ac:dyDescent="0.35">
      <c r="A1433" t="s">
        <v>2704</v>
      </c>
      <c r="B1433" s="1">
        <v>45736</v>
      </c>
      <c r="C1433" t="s">
        <v>2705</v>
      </c>
      <c r="D1433" t="s">
        <v>17</v>
      </c>
      <c r="E1433" t="s">
        <v>18</v>
      </c>
      <c r="F1433" t="s">
        <v>19</v>
      </c>
      <c r="G1433" t="s">
        <v>69</v>
      </c>
      <c r="H1433" t="s">
        <v>196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t="s">
        <v>56</v>
      </c>
    </row>
    <row r="1434" spans="1:15" x14ac:dyDescent="0.35">
      <c r="A1434" t="s">
        <v>2706</v>
      </c>
      <c r="B1434" s="1">
        <v>45737</v>
      </c>
      <c r="C1434" t="s">
        <v>2122</v>
      </c>
      <c r="D1434" t="s">
        <v>17</v>
      </c>
      <c r="E1434" t="s">
        <v>53</v>
      </c>
      <c r="F1434" t="s">
        <v>54</v>
      </c>
      <c r="G1434" t="s">
        <v>20</v>
      </c>
      <c r="H1434" t="s">
        <v>170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t="s">
        <v>22</v>
      </c>
    </row>
    <row r="1435" spans="1:15" x14ac:dyDescent="0.35">
      <c r="A1435" t="s">
        <v>2707</v>
      </c>
      <c r="B1435" s="1">
        <v>45738</v>
      </c>
      <c r="C1435" t="s">
        <v>2708</v>
      </c>
      <c r="D1435" t="s">
        <v>17</v>
      </c>
      <c r="E1435" t="s">
        <v>135</v>
      </c>
      <c r="F1435" t="s">
        <v>26</v>
      </c>
      <c r="G1435" t="s">
        <v>42</v>
      </c>
      <c r="H1435" t="s">
        <v>118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t="s">
        <v>39</v>
      </c>
    </row>
    <row r="1436" spans="1:15" x14ac:dyDescent="0.35">
      <c r="A1436" t="s">
        <v>2709</v>
      </c>
      <c r="B1436" s="1">
        <v>45738</v>
      </c>
      <c r="C1436" t="s">
        <v>2710</v>
      </c>
      <c r="D1436" t="s">
        <v>30</v>
      </c>
      <c r="E1436" t="s">
        <v>25</v>
      </c>
      <c r="F1436" t="s">
        <v>26</v>
      </c>
      <c r="G1436" t="s">
        <v>20</v>
      </c>
      <c r="H1436" t="s">
        <v>38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t="s">
        <v>39</v>
      </c>
    </row>
    <row r="1437" spans="1:15" x14ac:dyDescent="0.35">
      <c r="A1437" t="s">
        <v>2711</v>
      </c>
      <c r="B1437" s="1">
        <v>45741</v>
      </c>
      <c r="C1437" t="s">
        <v>2712</v>
      </c>
      <c r="D1437" t="s">
        <v>49</v>
      </c>
      <c r="E1437" t="s">
        <v>31</v>
      </c>
      <c r="F1437" t="s">
        <v>19</v>
      </c>
      <c r="G1437" t="s">
        <v>32</v>
      </c>
      <c r="H1437" t="s">
        <v>50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t="s">
        <v>39</v>
      </c>
    </row>
    <row r="1438" spans="1:15" x14ac:dyDescent="0.35">
      <c r="A1438" t="s">
        <v>2713</v>
      </c>
      <c r="B1438" s="1">
        <v>45742</v>
      </c>
      <c r="C1438" t="s">
        <v>2714</v>
      </c>
      <c r="D1438" t="s">
        <v>49</v>
      </c>
      <c r="E1438" t="s">
        <v>135</v>
      </c>
      <c r="F1438" t="s">
        <v>26</v>
      </c>
      <c r="G1438" t="s">
        <v>69</v>
      </c>
      <c r="H1438" t="s">
        <v>70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t="s">
        <v>39</v>
      </c>
    </row>
    <row r="1439" spans="1:15" x14ac:dyDescent="0.35">
      <c r="A1439" t="s">
        <v>2715</v>
      </c>
      <c r="B1439" s="1">
        <v>45742</v>
      </c>
      <c r="C1439" t="s">
        <v>2716</v>
      </c>
      <c r="D1439" t="s">
        <v>49</v>
      </c>
      <c r="E1439" t="s">
        <v>31</v>
      </c>
      <c r="F1439" t="s">
        <v>19</v>
      </c>
      <c r="G1439" t="s">
        <v>20</v>
      </c>
      <c r="H1439" t="s">
        <v>175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t="s">
        <v>34</v>
      </c>
    </row>
    <row r="1440" spans="1:15" x14ac:dyDescent="0.35">
      <c r="A1440" t="s">
        <v>2717</v>
      </c>
      <c r="B1440" s="1">
        <v>45742</v>
      </c>
      <c r="C1440" t="s">
        <v>2718</v>
      </c>
      <c r="D1440" t="s">
        <v>17</v>
      </c>
      <c r="E1440" t="s">
        <v>37</v>
      </c>
      <c r="F1440" t="s">
        <v>26</v>
      </c>
      <c r="G1440" t="s">
        <v>32</v>
      </c>
      <c r="H1440" t="s">
        <v>132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t="s">
        <v>34</v>
      </c>
    </row>
    <row r="1441" spans="1:15" x14ac:dyDescent="0.35">
      <c r="A1441" t="s">
        <v>2719</v>
      </c>
      <c r="B1441" s="1">
        <v>45742</v>
      </c>
      <c r="C1441" t="s">
        <v>2720</v>
      </c>
      <c r="D1441" t="s">
        <v>30</v>
      </c>
      <c r="E1441" t="s">
        <v>135</v>
      </c>
      <c r="F1441" t="s">
        <v>26</v>
      </c>
      <c r="G1441" t="s">
        <v>42</v>
      </c>
      <c r="H1441" t="s">
        <v>255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t="s">
        <v>34</v>
      </c>
    </row>
    <row r="1442" spans="1:15" x14ac:dyDescent="0.35">
      <c r="A1442" t="s">
        <v>2721</v>
      </c>
      <c r="B1442" s="1">
        <v>45743</v>
      </c>
      <c r="C1442" t="s">
        <v>2722</v>
      </c>
      <c r="D1442" t="s">
        <v>30</v>
      </c>
      <c r="E1442" t="s">
        <v>138</v>
      </c>
      <c r="F1442" t="s">
        <v>54</v>
      </c>
      <c r="G1442" t="s">
        <v>20</v>
      </c>
      <c r="H1442" t="s">
        <v>122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t="s">
        <v>56</v>
      </c>
    </row>
    <row r="1443" spans="1:15" x14ac:dyDescent="0.35">
      <c r="A1443" t="s">
        <v>2723</v>
      </c>
      <c r="B1443" s="1">
        <v>45743</v>
      </c>
      <c r="C1443" t="s">
        <v>1090</v>
      </c>
      <c r="D1443" t="s">
        <v>30</v>
      </c>
      <c r="E1443" t="s">
        <v>148</v>
      </c>
      <c r="F1443" t="s">
        <v>60</v>
      </c>
      <c r="G1443" t="s">
        <v>32</v>
      </c>
      <c r="H1443" t="s">
        <v>101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t="s">
        <v>39</v>
      </c>
    </row>
    <row r="1444" spans="1:15" x14ac:dyDescent="0.35">
      <c r="A1444" t="s">
        <v>2724</v>
      </c>
      <c r="B1444" s="1">
        <v>45743</v>
      </c>
      <c r="C1444" t="s">
        <v>1475</v>
      </c>
      <c r="D1444" t="s">
        <v>30</v>
      </c>
      <c r="E1444" t="s">
        <v>129</v>
      </c>
      <c r="F1444" t="s">
        <v>19</v>
      </c>
      <c r="G1444" t="s">
        <v>20</v>
      </c>
      <c r="H1444" t="s">
        <v>175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t="s">
        <v>39</v>
      </c>
    </row>
    <row r="1445" spans="1:15" x14ac:dyDescent="0.35">
      <c r="A1445" t="s">
        <v>2725</v>
      </c>
      <c r="B1445" s="1">
        <v>45744</v>
      </c>
      <c r="C1445" t="s">
        <v>916</v>
      </c>
      <c r="D1445" t="s">
        <v>49</v>
      </c>
      <c r="E1445" t="s">
        <v>18</v>
      </c>
      <c r="F1445" t="s">
        <v>19</v>
      </c>
      <c r="G1445" t="s">
        <v>69</v>
      </c>
      <c r="H1445" t="s">
        <v>163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t="s">
        <v>39</v>
      </c>
    </row>
    <row r="1446" spans="1:15" x14ac:dyDescent="0.35">
      <c r="A1446" t="s">
        <v>2726</v>
      </c>
      <c r="B1446" s="1">
        <v>45745</v>
      </c>
      <c r="C1446" t="s">
        <v>2727</v>
      </c>
      <c r="D1446" t="s">
        <v>30</v>
      </c>
      <c r="E1446" t="s">
        <v>92</v>
      </c>
      <c r="F1446" t="s">
        <v>60</v>
      </c>
      <c r="G1446" t="s">
        <v>42</v>
      </c>
      <c r="H1446" t="s">
        <v>89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t="s">
        <v>34</v>
      </c>
    </row>
    <row r="1447" spans="1:15" x14ac:dyDescent="0.35">
      <c r="A1447" t="s">
        <v>2728</v>
      </c>
      <c r="B1447" s="1">
        <v>45746</v>
      </c>
      <c r="C1447" t="s">
        <v>2729</v>
      </c>
      <c r="D1447" t="s">
        <v>49</v>
      </c>
      <c r="E1447" t="s">
        <v>63</v>
      </c>
      <c r="F1447" t="s">
        <v>54</v>
      </c>
      <c r="G1447" t="s">
        <v>20</v>
      </c>
      <c r="H1447" t="s">
        <v>170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t="s">
        <v>39</v>
      </c>
    </row>
    <row r="1448" spans="1:15" x14ac:dyDescent="0.35">
      <c r="A1448" t="s">
        <v>2730</v>
      </c>
      <c r="B1448" s="1">
        <v>45746</v>
      </c>
      <c r="C1448" t="s">
        <v>2731</v>
      </c>
      <c r="D1448" t="s">
        <v>30</v>
      </c>
      <c r="E1448" t="s">
        <v>31</v>
      </c>
      <c r="F1448" t="s">
        <v>19</v>
      </c>
      <c r="G1448" t="s">
        <v>20</v>
      </c>
      <c r="H1448" t="s">
        <v>170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t="s">
        <v>34</v>
      </c>
    </row>
    <row r="1449" spans="1:15" x14ac:dyDescent="0.35">
      <c r="A1449" t="s">
        <v>2732</v>
      </c>
      <c r="B1449" s="1">
        <v>45747</v>
      </c>
      <c r="C1449" t="s">
        <v>2733</v>
      </c>
      <c r="D1449" t="s">
        <v>30</v>
      </c>
      <c r="E1449" t="s">
        <v>92</v>
      </c>
      <c r="F1449" t="s">
        <v>60</v>
      </c>
      <c r="G1449" t="s">
        <v>42</v>
      </c>
      <c r="H1449" t="s">
        <v>64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t="s">
        <v>34</v>
      </c>
    </row>
    <row r="1450" spans="1:15" x14ac:dyDescent="0.35">
      <c r="A1450" t="s">
        <v>2734</v>
      </c>
      <c r="B1450" s="1">
        <v>45747</v>
      </c>
      <c r="C1450" t="s">
        <v>2735</v>
      </c>
      <c r="D1450" t="s">
        <v>17</v>
      </c>
      <c r="E1450" t="s">
        <v>37</v>
      </c>
      <c r="F1450" t="s">
        <v>26</v>
      </c>
      <c r="G1450" t="s">
        <v>20</v>
      </c>
      <c r="H1450" t="s">
        <v>21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t="s">
        <v>56</v>
      </c>
    </row>
    <row r="1451" spans="1:15" x14ac:dyDescent="0.35">
      <c r="A1451" t="s">
        <v>2736</v>
      </c>
      <c r="B1451" s="1">
        <v>45747</v>
      </c>
      <c r="C1451" t="s">
        <v>2737</v>
      </c>
      <c r="D1451" t="s">
        <v>17</v>
      </c>
      <c r="E1451" t="s">
        <v>166</v>
      </c>
      <c r="F1451" t="s">
        <v>60</v>
      </c>
      <c r="G1451" t="s">
        <v>32</v>
      </c>
      <c r="H1451" t="s">
        <v>132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t="s">
        <v>56</v>
      </c>
    </row>
    <row r="1452" spans="1:15" x14ac:dyDescent="0.35">
      <c r="A1452" t="s">
        <v>2738</v>
      </c>
      <c r="B1452" s="1">
        <v>45748</v>
      </c>
      <c r="C1452" t="s">
        <v>1369</v>
      </c>
      <c r="D1452" t="s">
        <v>17</v>
      </c>
      <c r="E1452" t="s">
        <v>138</v>
      </c>
      <c r="F1452" t="s">
        <v>54</v>
      </c>
      <c r="G1452" t="s">
        <v>32</v>
      </c>
      <c r="H1452" t="s">
        <v>115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t="s">
        <v>56</v>
      </c>
    </row>
    <row r="1453" spans="1:15" x14ac:dyDescent="0.35">
      <c r="A1453" t="s">
        <v>2739</v>
      </c>
      <c r="B1453" s="1">
        <v>45749</v>
      </c>
      <c r="C1453" t="s">
        <v>2740</v>
      </c>
      <c r="D1453" t="s">
        <v>17</v>
      </c>
      <c r="E1453" t="s">
        <v>129</v>
      </c>
      <c r="F1453" t="s">
        <v>19</v>
      </c>
      <c r="G1453" t="s">
        <v>42</v>
      </c>
      <c r="H1453" t="s">
        <v>43</v>
      </c>
      <c r="I1453">
        <v>8</v>
      </c>
      <c r="J1453">
        <v>222.57</v>
      </c>
      <c r="K1453">
        <v>0</v>
      </c>
      <c r="L1453">
        <v>1780.56</v>
      </c>
      <c r="M1453">
        <v>10.29</v>
      </c>
      <c r="N1453">
        <v>701.93</v>
      </c>
      <c r="O1453" t="s">
        <v>39</v>
      </c>
    </row>
    <row r="1454" spans="1:15" x14ac:dyDescent="0.35">
      <c r="A1454" t="s">
        <v>2741</v>
      </c>
      <c r="B1454" s="1">
        <v>45749</v>
      </c>
      <c r="C1454" t="s">
        <v>2742</v>
      </c>
      <c r="D1454" t="s">
        <v>30</v>
      </c>
      <c r="E1454" t="s">
        <v>129</v>
      </c>
      <c r="F1454" t="s">
        <v>19</v>
      </c>
      <c r="G1454" t="s">
        <v>20</v>
      </c>
      <c r="H1454" t="s">
        <v>264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t="s">
        <v>34</v>
      </c>
    </row>
    <row r="1455" spans="1:15" x14ac:dyDescent="0.35">
      <c r="A1455" t="s">
        <v>2743</v>
      </c>
      <c r="B1455" s="1">
        <v>45749</v>
      </c>
      <c r="C1455" t="s">
        <v>2744</v>
      </c>
      <c r="D1455" t="s">
        <v>30</v>
      </c>
      <c r="E1455" t="s">
        <v>85</v>
      </c>
      <c r="F1455" t="s">
        <v>60</v>
      </c>
      <c r="G1455" t="s">
        <v>32</v>
      </c>
      <c r="H1455" t="s">
        <v>132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t="s">
        <v>39</v>
      </c>
    </row>
    <row r="1456" spans="1:15" x14ac:dyDescent="0.35">
      <c r="A1456" t="s">
        <v>2745</v>
      </c>
      <c r="B1456" s="1">
        <v>45751</v>
      </c>
      <c r="C1456" t="s">
        <v>2440</v>
      </c>
      <c r="D1456" t="s">
        <v>30</v>
      </c>
      <c r="E1456" t="s">
        <v>129</v>
      </c>
      <c r="F1456" t="s">
        <v>19</v>
      </c>
      <c r="G1456" t="s">
        <v>20</v>
      </c>
      <c r="H1456" t="s">
        <v>170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t="s">
        <v>34</v>
      </c>
    </row>
    <row r="1457" spans="1:15" x14ac:dyDescent="0.35">
      <c r="A1457" t="s">
        <v>2746</v>
      </c>
      <c r="B1457" s="1">
        <v>45751</v>
      </c>
      <c r="C1457" t="s">
        <v>2747</v>
      </c>
      <c r="D1457" t="s">
        <v>17</v>
      </c>
      <c r="E1457" t="s">
        <v>248</v>
      </c>
      <c r="F1457" t="s">
        <v>26</v>
      </c>
      <c r="G1457" t="s">
        <v>42</v>
      </c>
      <c r="H1457" t="s">
        <v>255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t="s">
        <v>22</v>
      </c>
    </row>
    <row r="1458" spans="1:15" x14ac:dyDescent="0.35">
      <c r="A1458" t="s">
        <v>2748</v>
      </c>
      <c r="B1458" s="1">
        <v>45751</v>
      </c>
      <c r="C1458" t="s">
        <v>1296</v>
      </c>
      <c r="D1458" t="s">
        <v>30</v>
      </c>
      <c r="E1458" t="s">
        <v>148</v>
      </c>
      <c r="F1458" t="s">
        <v>60</v>
      </c>
      <c r="G1458" t="s">
        <v>69</v>
      </c>
      <c r="H1458" t="s">
        <v>70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t="s">
        <v>39</v>
      </c>
    </row>
    <row r="1459" spans="1:15" x14ac:dyDescent="0.35">
      <c r="A1459" t="s">
        <v>2749</v>
      </c>
      <c r="B1459" s="1">
        <v>45751</v>
      </c>
      <c r="C1459" t="s">
        <v>1148</v>
      </c>
      <c r="D1459" t="s">
        <v>49</v>
      </c>
      <c r="E1459" t="s">
        <v>67</v>
      </c>
      <c r="F1459" t="s">
        <v>68</v>
      </c>
      <c r="G1459" t="s">
        <v>32</v>
      </c>
      <c r="H1459" t="s">
        <v>50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t="s">
        <v>39</v>
      </c>
    </row>
    <row r="1460" spans="1:15" x14ac:dyDescent="0.35">
      <c r="A1460" t="s">
        <v>2750</v>
      </c>
      <c r="B1460" s="1">
        <v>45752</v>
      </c>
      <c r="C1460" t="s">
        <v>2751</v>
      </c>
      <c r="D1460" t="s">
        <v>17</v>
      </c>
      <c r="E1460" t="s">
        <v>129</v>
      </c>
      <c r="F1460" t="s">
        <v>19</v>
      </c>
      <c r="G1460" t="s">
        <v>20</v>
      </c>
      <c r="H1460" t="s">
        <v>175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t="s">
        <v>39</v>
      </c>
    </row>
    <row r="1461" spans="1:15" x14ac:dyDescent="0.35">
      <c r="A1461" t="s">
        <v>2752</v>
      </c>
      <c r="B1461" s="1">
        <v>45752</v>
      </c>
      <c r="C1461" t="s">
        <v>2370</v>
      </c>
      <c r="D1461" t="s">
        <v>17</v>
      </c>
      <c r="E1461" t="s">
        <v>166</v>
      </c>
      <c r="F1461" t="s">
        <v>60</v>
      </c>
      <c r="G1461" t="s">
        <v>20</v>
      </c>
      <c r="H1461" t="s">
        <v>175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t="s">
        <v>34</v>
      </c>
    </row>
    <row r="1462" spans="1:15" x14ac:dyDescent="0.35">
      <c r="A1462" t="s">
        <v>2753</v>
      </c>
      <c r="B1462" s="1">
        <v>45752</v>
      </c>
      <c r="C1462" t="s">
        <v>722</v>
      </c>
      <c r="D1462" t="s">
        <v>30</v>
      </c>
      <c r="E1462" t="s">
        <v>129</v>
      </c>
      <c r="F1462" t="s">
        <v>19</v>
      </c>
      <c r="G1462" t="s">
        <v>20</v>
      </c>
      <c r="H1462" t="s">
        <v>170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t="s">
        <v>56</v>
      </c>
    </row>
    <row r="1463" spans="1:15" x14ac:dyDescent="0.35">
      <c r="A1463" t="s">
        <v>2754</v>
      </c>
      <c r="B1463" s="1">
        <v>45753</v>
      </c>
      <c r="C1463" t="s">
        <v>2755</v>
      </c>
      <c r="D1463" t="s">
        <v>17</v>
      </c>
      <c r="E1463" t="s">
        <v>25</v>
      </c>
      <c r="F1463" t="s">
        <v>26</v>
      </c>
      <c r="G1463" t="s">
        <v>20</v>
      </c>
      <c r="H1463" t="s">
        <v>27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t="s">
        <v>22</v>
      </c>
    </row>
    <row r="1464" spans="1:15" x14ac:dyDescent="0.35">
      <c r="A1464" t="s">
        <v>2756</v>
      </c>
      <c r="B1464" s="1">
        <v>45753</v>
      </c>
      <c r="C1464" t="s">
        <v>2757</v>
      </c>
      <c r="D1464" t="s">
        <v>49</v>
      </c>
      <c r="E1464" t="s">
        <v>25</v>
      </c>
      <c r="F1464" t="s">
        <v>26</v>
      </c>
      <c r="G1464" t="s">
        <v>20</v>
      </c>
      <c r="H1464" t="s">
        <v>21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t="s">
        <v>22</v>
      </c>
    </row>
    <row r="1465" spans="1:15" x14ac:dyDescent="0.35">
      <c r="A1465" t="s">
        <v>2758</v>
      </c>
      <c r="B1465" s="1">
        <v>45754</v>
      </c>
      <c r="C1465" t="s">
        <v>2312</v>
      </c>
      <c r="D1465" t="s">
        <v>30</v>
      </c>
      <c r="E1465" t="s">
        <v>85</v>
      </c>
      <c r="F1465" t="s">
        <v>60</v>
      </c>
      <c r="G1465" t="s">
        <v>32</v>
      </c>
      <c r="H1465" t="s">
        <v>115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t="s">
        <v>39</v>
      </c>
    </row>
    <row r="1466" spans="1:15" x14ac:dyDescent="0.35">
      <c r="A1466" t="s">
        <v>2759</v>
      </c>
      <c r="B1466" s="1">
        <v>45754</v>
      </c>
      <c r="C1466" t="s">
        <v>2760</v>
      </c>
      <c r="D1466" t="s">
        <v>17</v>
      </c>
      <c r="E1466" t="s">
        <v>129</v>
      </c>
      <c r="F1466" t="s">
        <v>19</v>
      </c>
      <c r="G1466" t="s">
        <v>69</v>
      </c>
      <c r="H1466" t="s">
        <v>79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t="s">
        <v>22</v>
      </c>
    </row>
    <row r="1467" spans="1:15" x14ac:dyDescent="0.35">
      <c r="A1467" t="s">
        <v>2761</v>
      </c>
      <c r="B1467" s="1">
        <v>45754</v>
      </c>
      <c r="C1467" t="s">
        <v>1211</v>
      </c>
      <c r="D1467" t="s">
        <v>17</v>
      </c>
      <c r="E1467" t="s">
        <v>135</v>
      </c>
      <c r="F1467" t="s">
        <v>26</v>
      </c>
      <c r="G1467" t="s">
        <v>32</v>
      </c>
      <c r="H1467" t="s">
        <v>149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t="s">
        <v>56</v>
      </c>
    </row>
    <row r="1468" spans="1:15" x14ac:dyDescent="0.35">
      <c r="A1468" t="s">
        <v>2762</v>
      </c>
      <c r="B1468" s="1">
        <v>45755</v>
      </c>
      <c r="C1468" t="s">
        <v>2731</v>
      </c>
      <c r="D1468" t="s">
        <v>30</v>
      </c>
      <c r="E1468" t="s">
        <v>18</v>
      </c>
      <c r="F1468" t="s">
        <v>19</v>
      </c>
      <c r="G1468" t="s">
        <v>42</v>
      </c>
      <c r="H1468" t="s">
        <v>43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t="s">
        <v>34</v>
      </c>
    </row>
    <row r="1469" spans="1:15" x14ac:dyDescent="0.35">
      <c r="A1469" t="s">
        <v>2763</v>
      </c>
      <c r="B1469" s="1">
        <v>45755</v>
      </c>
      <c r="C1469" t="s">
        <v>2764</v>
      </c>
      <c r="D1469" t="s">
        <v>30</v>
      </c>
      <c r="E1469" t="s">
        <v>59</v>
      </c>
      <c r="F1469" t="s">
        <v>60</v>
      </c>
      <c r="G1469" t="s">
        <v>32</v>
      </c>
      <c r="H1469" t="s">
        <v>50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t="s">
        <v>56</v>
      </c>
    </row>
    <row r="1470" spans="1:15" x14ac:dyDescent="0.35">
      <c r="A1470" t="s">
        <v>2765</v>
      </c>
      <c r="B1470" s="1">
        <v>45756</v>
      </c>
      <c r="C1470" t="s">
        <v>2766</v>
      </c>
      <c r="D1470" t="s">
        <v>49</v>
      </c>
      <c r="E1470" t="s">
        <v>37</v>
      </c>
      <c r="F1470" t="s">
        <v>26</v>
      </c>
      <c r="G1470" t="s">
        <v>20</v>
      </c>
      <c r="H1470" t="s">
        <v>21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t="s">
        <v>34</v>
      </c>
    </row>
    <row r="1471" spans="1:15" x14ac:dyDescent="0.35">
      <c r="A1471" t="s">
        <v>2767</v>
      </c>
      <c r="B1471" s="1">
        <v>45757</v>
      </c>
      <c r="C1471" t="s">
        <v>2768</v>
      </c>
      <c r="D1471" t="s">
        <v>30</v>
      </c>
      <c r="E1471" t="s">
        <v>148</v>
      </c>
      <c r="F1471" t="s">
        <v>60</v>
      </c>
      <c r="G1471" t="s">
        <v>20</v>
      </c>
      <c r="H1471" t="s">
        <v>55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t="s">
        <v>34</v>
      </c>
    </row>
    <row r="1472" spans="1:15" x14ac:dyDescent="0.35">
      <c r="A1472" t="s">
        <v>2769</v>
      </c>
      <c r="B1472" s="1">
        <v>45757</v>
      </c>
      <c r="C1472" t="s">
        <v>2770</v>
      </c>
      <c r="D1472" t="s">
        <v>49</v>
      </c>
      <c r="E1472" t="s">
        <v>135</v>
      </c>
      <c r="F1472" t="s">
        <v>26</v>
      </c>
      <c r="G1472" t="s">
        <v>42</v>
      </c>
      <c r="H1472" t="s">
        <v>371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t="s">
        <v>34</v>
      </c>
    </row>
    <row r="1473" spans="1:15" x14ac:dyDescent="0.35">
      <c r="A1473" t="s">
        <v>2771</v>
      </c>
      <c r="B1473" s="1">
        <v>45757</v>
      </c>
      <c r="C1473" t="s">
        <v>2772</v>
      </c>
      <c r="D1473" t="s">
        <v>49</v>
      </c>
      <c r="E1473" t="s">
        <v>53</v>
      </c>
      <c r="F1473" t="s">
        <v>54</v>
      </c>
      <c r="G1473" t="s">
        <v>20</v>
      </c>
      <c r="H1473" t="s">
        <v>122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t="s">
        <v>39</v>
      </c>
    </row>
    <row r="1474" spans="1:15" x14ac:dyDescent="0.35">
      <c r="A1474" t="s">
        <v>2773</v>
      </c>
      <c r="B1474" s="1">
        <v>45758</v>
      </c>
      <c r="C1474" t="s">
        <v>2774</v>
      </c>
      <c r="D1474" t="s">
        <v>49</v>
      </c>
      <c r="E1474" t="s">
        <v>169</v>
      </c>
      <c r="F1474" t="s">
        <v>68</v>
      </c>
      <c r="G1474" t="s">
        <v>42</v>
      </c>
      <c r="H1474" t="s">
        <v>46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t="s">
        <v>34</v>
      </c>
    </row>
    <row r="1475" spans="1:15" x14ac:dyDescent="0.35">
      <c r="A1475" t="s">
        <v>2775</v>
      </c>
      <c r="B1475" s="1">
        <v>45758</v>
      </c>
      <c r="C1475" t="s">
        <v>2776</v>
      </c>
      <c r="D1475" t="s">
        <v>30</v>
      </c>
      <c r="E1475" t="s">
        <v>53</v>
      </c>
      <c r="F1475" t="s">
        <v>54</v>
      </c>
      <c r="G1475" t="s">
        <v>69</v>
      </c>
      <c r="H1475" t="s">
        <v>243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t="s">
        <v>34</v>
      </c>
    </row>
    <row r="1476" spans="1:15" x14ac:dyDescent="0.35">
      <c r="A1476" t="s">
        <v>2777</v>
      </c>
      <c r="B1476" s="1">
        <v>45758</v>
      </c>
      <c r="C1476" t="s">
        <v>2778</v>
      </c>
      <c r="D1476" t="s">
        <v>49</v>
      </c>
      <c r="E1476" t="s">
        <v>129</v>
      </c>
      <c r="F1476" t="s">
        <v>19</v>
      </c>
      <c r="G1476" t="s">
        <v>42</v>
      </c>
      <c r="H1476" t="s">
        <v>234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t="s">
        <v>34</v>
      </c>
    </row>
    <row r="1477" spans="1:15" x14ac:dyDescent="0.35">
      <c r="A1477" t="s">
        <v>2779</v>
      </c>
      <c r="B1477" s="1">
        <v>45758</v>
      </c>
      <c r="C1477" t="s">
        <v>2780</v>
      </c>
      <c r="D1477" t="s">
        <v>30</v>
      </c>
      <c r="E1477" t="s">
        <v>63</v>
      </c>
      <c r="F1477" t="s">
        <v>54</v>
      </c>
      <c r="G1477" t="s">
        <v>32</v>
      </c>
      <c r="H1477" t="s">
        <v>101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t="s">
        <v>39</v>
      </c>
    </row>
    <row r="1478" spans="1:15" x14ac:dyDescent="0.35">
      <c r="A1478" t="s">
        <v>2781</v>
      </c>
      <c r="B1478" s="1">
        <v>45758</v>
      </c>
      <c r="C1478" t="s">
        <v>370</v>
      </c>
      <c r="D1478" t="s">
        <v>30</v>
      </c>
      <c r="E1478" t="s">
        <v>37</v>
      </c>
      <c r="F1478" t="s">
        <v>26</v>
      </c>
      <c r="G1478" t="s">
        <v>20</v>
      </c>
      <c r="H1478" t="s">
        <v>199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t="s">
        <v>34</v>
      </c>
    </row>
    <row r="1479" spans="1:15" x14ac:dyDescent="0.35">
      <c r="A1479" t="s">
        <v>2782</v>
      </c>
      <c r="B1479" s="1">
        <v>45758</v>
      </c>
      <c r="C1479" t="s">
        <v>2783</v>
      </c>
      <c r="D1479" t="s">
        <v>17</v>
      </c>
      <c r="E1479" t="s">
        <v>85</v>
      </c>
      <c r="F1479" t="s">
        <v>60</v>
      </c>
      <c r="G1479" t="s">
        <v>69</v>
      </c>
      <c r="H1479" t="s">
        <v>70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t="s">
        <v>56</v>
      </c>
    </row>
    <row r="1480" spans="1:15" x14ac:dyDescent="0.35">
      <c r="A1480" t="s">
        <v>2784</v>
      </c>
      <c r="B1480" s="1">
        <v>45759</v>
      </c>
      <c r="C1480" t="s">
        <v>2785</v>
      </c>
      <c r="D1480" t="s">
        <v>17</v>
      </c>
      <c r="E1480" t="s">
        <v>129</v>
      </c>
      <c r="F1480" t="s">
        <v>19</v>
      </c>
      <c r="G1480" t="s">
        <v>32</v>
      </c>
      <c r="H1480" t="s">
        <v>149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t="s">
        <v>39</v>
      </c>
    </row>
    <row r="1481" spans="1:15" x14ac:dyDescent="0.35">
      <c r="A1481" t="s">
        <v>2786</v>
      </c>
      <c r="B1481" s="1">
        <v>45759</v>
      </c>
      <c r="C1481" t="s">
        <v>2787</v>
      </c>
      <c r="D1481" t="s">
        <v>49</v>
      </c>
      <c r="E1481" t="s">
        <v>25</v>
      </c>
      <c r="F1481" t="s">
        <v>26</v>
      </c>
      <c r="G1481" t="s">
        <v>32</v>
      </c>
      <c r="H1481" t="s">
        <v>115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t="s">
        <v>39</v>
      </c>
    </row>
    <row r="1482" spans="1:15" x14ac:dyDescent="0.35">
      <c r="A1482" t="s">
        <v>2788</v>
      </c>
      <c r="B1482" s="1">
        <v>45759</v>
      </c>
      <c r="C1482" t="s">
        <v>2789</v>
      </c>
      <c r="D1482" t="s">
        <v>17</v>
      </c>
      <c r="E1482" t="s">
        <v>85</v>
      </c>
      <c r="F1482" t="s">
        <v>60</v>
      </c>
      <c r="G1482" t="s">
        <v>20</v>
      </c>
      <c r="H1482" t="s">
        <v>106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t="s">
        <v>22</v>
      </c>
    </row>
    <row r="1483" spans="1:15" x14ac:dyDescent="0.35">
      <c r="A1483" t="s">
        <v>2790</v>
      </c>
      <c r="B1483" s="1">
        <v>45759</v>
      </c>
      <c r="C1483" t="s">
        <v>2791</v>
      </c>
      <c r="D1483" t="s">
        <v>17</v>
      </c>
      <c r="E1483" t="s">
        <v>31</v>
      </c>
      <c r="F1483" t="s">
        <v>19</v>
      </c>
      <c r="G1483" t="s">
        <v>20</v>
      </c>
      <c r="H1483" t="s">
        <v>199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t="s">
        <v>34</v>
      </c>
    </row>
    <row r="1484" spans="1:15" x14ac:dyDescent="0.35">
      <c r="A1484" t="s">
        <v>2792</v>
      </c>
      <c r="B1484" s="1">
        <v>45759</v>
      </c>
      <c r="C1484" t="s">
        <v>2793</v>
      </c>
      <c r="D1484" t="s">
        <v>30</v>
      </c>
      <c r="E1484" t="s">
        <v>59</v>
      </c>
      <c r="F1484" t="s">
        <v>60</v>
      </c>
      <c r="G1484" t="s">
        <v>32</v>
      </c>
      <c r="H1484" t="s">
        <v>132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t="s">
        <v>34</v>
      </c>
    </row>
    <row r="1485" spans="1:15" x14ac:dyDescent="0.35">
      <c r="A1485" t="s">
        <v>2794</v>
      </c>
      <c r="B1485" s="1">
        <v>45760</v>
      </c>
      <c r="C1485" t="s">
        <v>2795</v>
      </c>
      <c r="D1485" t="s">
        <v>49</v>
      </c>
      <c r="E1485" t="s">
        <v>169</v>
      </c>
      <c r="F1485" t="s">
        <v>68</v>
      </c>
      <c r="G1485" t="s">
        <v>32</v>
      </c>
      <c r="H1485" t="s">
        <v>348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t="s">
        <v>39</v>
      </c>
    </row>
    <row r="1486" spans="1:15" x14ac:dyDescent="0.35">
      <c r="A1486" t="s">
        <v>2796</v>
      </c>
      <c r="B1486" s="1">
        <v>45760</v>
      </c>
      <c r="C1486" t="s">
        <v>2797</v>
      </c>
      <c r="D1486" t="s">
        <v>30</v>
      </c>
      <c r="E1486" t="s">
        <v>25</v>
      </c>
      <c r="F1486" t="s">
        <v>26</v>
      </c>
      <c r="G1486" t="s">
        <v>20</v>
      </c>
      <c r="H1486" t="s">
        <v>55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t="s">
        <v>34</v>
      </c>
    </row>
    <row r="1487" spans="1:15" x14ac:dyDescent="0.35">
      <c r="A1487" t="s">
        <v>2798</v>
      </c>
      <c r="B1487" s="1">
        <v>45760</v>
      </c>
      <c r="C1487" t="s">
        <v>1999</v>
      </c>
      <c r="D1487" t="s">
        <v>30</v>
      </c>
      <c r="E1487" t="s">
        <v>37</v>
      </c>
      <c r="F1487" t="s">
        <v>26</v>
      </c>
      <c r="G1487" t="s">
        <v>32</v>
      </c>
      <c r="H1487" t="s">
        <v>115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t="s">
        <v>34</v>
      </c>
    </row>
    <row r="1488" spans="1:15" x14ac:dyDescent="0.35">
      <c r="A1488" t="s">
        <v>2799</v>
      </c>
      <c r="B1488" s="1">
        <v>45761</v>
      </c>
      <c r="C1488" t="s">
        <v>1262</v>
      </c>
      <c r="D1488" t="s">
        <v>17</v>
      </c>
      <c r="E1488" t="s">
        <v>121</v>
      </c>
      <c r="F1488" t="s">
        <v>68</v>
      </c>
      <c r="G1488" t="s">
        <v>42</v>
      </c>
      <c r="H1488" t="s">
        <v>89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t="s">
        <v>56</v>
      </c>
    </row>
    <row r="1489" spans="1:15" x14ac:dyDescent="0.35">
      <c r="A1489" t="s">
        <v>2800</v>
      </c>
      <c r="B1489" s="1">
        <v>45761</v>
      </c>
      <c r="C1489" t="s">
        <v>2801</v>
      </c>
      <c r="D1489" t="s">
        <v>30</v>
      </c>
      <c r="E1489" t="s">
        <v>129</v>
      </c>
      <c r="F1489" t="s">
        <v>19</v>
      </c>
      <c r="G1489" t="s">
        <v>20</v>
      </c>
      <c r="H1489" t="s">
        <v>199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t="s">
        <v>34</v>
      </c>
    </row>
    <row r="1490" spans="1:15" x14ac:dyDescent="0.35">
      <c r="A1490" t="s">
        <v>2802</v>
      </c>
      <c r="B1490" s="1">
        <v>45763</v>
      </c>
      <c r="C1490" t="s">
        <v>2803</v>
      </c>
      <c r="D1490" t="s">
        <v>30</v>
      </c>
      <c r="E1490" t="s">
        <v>138</v>
      </c>
      <c r="F1490" t="s">
        <v>54</v>
      </c>
      <c r="G1490" t="s">
        <v>20</v>
      </c>
      <c r="H1490" t="s">
        <v>21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t="s">
        <v>22</v>
      </c>
    </row>
    <row r="1491" spans="1:15" x14ac:dyDescent="0.35">
      <c r="A1491" t="s">
        <v>2804</v>
      </c>
      <c r="B1491" s="1">
        <v>45764</v>
      </c>
      <c r="C1491" t="s">
        <v>128</v>
      </c>
      <c r="D1491" t="s">
        <v>17</v>
      </c>
      <c r="E1491" t="s">
        <v>109</v>
      </c>
      <c r="F1491" t="s">
        <v>54</v>
      </c>
      <c r="G1491" t="s">
        <v>32</v>
      </c>
      <c r="H1491" t="s">
        <v>115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t="s">
        <v>56</v>
      </c>
    </row>
    <row r="1492" spans="1:15" x14ac:dyDescent="0.35">
      <c r="A1492" t="s">
        <v>2805</v>
      </c>
      <c r="B1492" s="1">
        <v>45764</v>
      </c>
      <c r="C1492" t="s">
        <v>748</v>
      </c>
      <c r="D1492" t="s">
        <v>30</v>
      </c>
      <c r="E1492" t="s">
        <v>53</v>
      </c>
      <c r="F1492" t="s">
        <v>54</v>
      </c>
      <c r="G1492" t="s">
        <v>32</v>
      </c>
      <c r="H1492" t="s">
        <v>33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t="s">
        <v>56</v>
      </c>
    </row>
    <row r="1493" spans="1:15" x14ac:dyDescent="0.35">
      <c r="A1493" t="s">
        <v>2806</v>
      </c>
      <c r="B1493" s="1">
        <v>45765</v>
      </c>
      <c r="C1493" t="s">
        <v>2807</v>
      </c>
      <c r="D1493" t="s">
        <v>49</v>
      </c>
      <c r="E1493" t="s">
        <v>166</v>
      </c>
      <c r="F1493" t="s">
        <v>60</v>
      </c>
      <c r="G1493" t="s">
        <v>32</v>
      </c>
      <c r="H1493" t="s">
        <v>33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t="s">
        <v>56</v>
      </c>
    </row>
    <row r="1494" spans="1:15" x14ac:dyDescent="0.35">
      <c r="A1494" t="s">
        <v>2808</v>
      </c>
      <c r="B1494" s="1">
        <v>45765</v>
      </c>
      <c r="C1494" t="s">
        <v>1507</v>
      </c>
      <c r="D1494" t="s">
        <v>30</v>
      </c>
      <c r="E1494" t="s">
        <v>31</v>
      </c>
      <c r="F1494" t="s">
        <v>19</v>
      </c>
      <c r="G1494" t="s">
        <v>32</v>
      </c>
      <c r="H1494" t="s">
        <v>73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t="s">
        <v>22</v>
      </c>
    </row>
    <row r="1495" spans="1:15" x14ac:dyDescent="0.35">
      <c r="A1495" t="s">
        <v>2809</v>
      </c>
      <c r="B1495" s="1">
        <v>45765</v>
      </c>
      <c r="C1495" t="s">
        <v>962</v>
      </c>
      <c r="D1495" t="s">
        <v>49</v>
      </c>
      <c r="E1495" t="s">
        <v>166</v>
      </c>
      <c r="F1495" t="s">
        <v>60</v>
      </c>
      <c r="G1495" t="s">
        <v>69</v>
      </c>
      <c r="H1495" t="s">
        <v>86</v>
      </c>
      <c r="I1495">
        <v>10</v>
      </c>
      <c r="J1495">
        <v>147.28</v>
      </c>
      <c r="K1495">
        <v>0</v>
      </c>
      <c r="L1495">
        <v>1472.8</v>
      </c>
      <c r="M1495">
        <v>27.39</v>
      </c>
      <c r="N1495">
        <v>709.01</v>
      </c>
      <c r="O1495" t="s">
        <v>39</v>
      </c>
    </row>
    <row r="1496" spans="1:15" x14ac:dyDescent="0.35">
      <c r="A1496" t="s">
        <v>2810</v>
      </c>
      <c r="B1496" s="1">
        <v>45765</v>
      </c>
      <c r="C1496" t="s">
        <v>2811</v>
      </c>
      <c r="D1496" t="s">
        <v>30</v>
      </c>
      <c r="E1496" t="s">
        <v>59</v>
      </c>
      <c r="F1496" t="s">
        <v>60</v>
      </c>
      <c r="G1496" t="s">
        <v>69</v>
      </c>
      <c r="H1496" t="s">
        <v>79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t="s">
        <v>34</v>
      </c>
    </row>
    <row r="1497" spans="1:15" x14ac:dyDescent="0.35">
      <c r="A1497" t="s">
        <v>2812</v>
      </c>
      <c r="B1497" s="1">
        <v>45766</v>
      </c>
      <c r="C1497" t="s">
        <v>2813</v>
      </c>
      <c r="D1497" t="s">
        <v>30</v>
      </c>
      <c r="E1497" t="s">
        <v>92</v>
      </c>
      <c r="F1497" t="s">
        <v>60</v>
      </c>
      <c r="G1497" t="s">
        <v>42</v>
      </c>
      <c r="H1497" t="s">
        <v>46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t="s">
        <v>34</v>
      </c>
    </row>
    <row r="1498" spans="1:15" x14ac:dyDescent="0.35">
      <c r="A1498" t="s">
        <v>2814</v>
      </c>
      <c r="B1498" s="1">
        <v>45766</v>
      </c>
      <c r="C1498" t="s">
        <v>2024</v>
      </c>
      <c r="D1498" t="s">
        <v>30</v>
      </c>
      <c r="E1498" t="s">
        <v>25</v>
      </c>
      <c r="F1498" t="s">
        <v>26</v>
      </c>
      <c r="G1498" t="s">
        <v>42</v>
      </c>
      <c r="H1498" t="s">
        <v>93</v>
      </c>
      <c r="I1498">
        <v>7</v>
      </c>
      <c r="J1498">
        <v>294.08999999999997</v>
      </c>
      <c r="K1498">
        <v>0</v>
      </c>
      <c r="L1498">
        <v>2058.63</v>
      </c>
      <c r="M1498">
        <v>15.1</v>
      </c>
      <c r="N1498">
        <v>808.35</v>
      </c>
      <c r="O1498" t="s">
        <v>39</v>
      </c>
    </row>
    <row r="1499" spans="1:15" x14ac:dyDescent="0.35">
      <c r="A1499" t="s">
        <v>2815</v>
      </c>
      <c r="B1499" s="1">
        <v>45767</v>
      </c>
      <c r="C1499" t="s">
        <v>805</v>
      </c>
      <c r="D1499" t="s">
        <v>17</v>
      </c>
      <c r="E1499" t="s">
        <v>169</v>
      </c>
      <c r="F1499" t="s">
        <v>68</v>
      </c>
      <c r="G1499" t="s">
        <v>20</v>
      </c>
      <c r="H1499" t="s">
        <v>264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t="s">
        <v>34</v>
      </c>
    </row>
    <row r="1500" spans="1:15" x14ac:dyDescent="0.35">
      <c r="A1500" t="s">
        <v>2816</v>
      </c>
      <c r="B1500" s="1">
        <v>45767</v>
      </c>
      <c r="C1500" t="s">
        <v>2817</v>
      </c>
      <c r="D1500" t="s">
        <v>17</v>
      </c>
      <c r="E1500" t="s">
        <v>63</v>
      </c>
      <c r="F1500" t="s">
        <v>54</v>
      </c>
      <c r="G1500" t="s">
        <v>20</v>
      </c>
      <c r="H1500" t="s">
        <v>170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t="s">
        <v>34</v>
      </c>
    </row>
    <row r="1501" spans="1:15" x14ac:dyDescent="0.35">
      <c r="A1501" t="s">
        <v>2818</v>
      </c>
      <c r="B1501" s="1">
        <v>45767</v>
      </c>
      <c r="C1501" t="s">
        <v>1651</v>
      </c>
      <c r="D1501" t="s">
        <v>30</v>
      </c>
      <c r="E1501" t="s">
        <v>169</v>
      </c>
      <c r="F1501" t="s">
        <v>68</v>
      </c>
      <c r="G1501" t="s">
        <v>20</v>
      </c>
      <c r="H1501" t="s">
        <v>175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t="s">
        <v>22</v>
      </c>
    </row>
    <row r="1502" spans="1:15" x14ac:dyDescent="0.35">
      <c r="A1502" t="s">
        <v>2819</v>
      </c>
      <c r="B1502" s="1">
        <v>45768</v>
      </c>
      <c r="C1502" t="s">
        <v>2820</v>
      </c>
      <c r="D1502" t="s">
        <v>17</v>
      </c>
      <c r="E1502" t="s">
        <v>18</v>
      </c>
      <c r="F1502" t="s">
        <v>19</v>
      </c>
      <c r="G1502" t="s">
        <v>42</v>
      </c>
      <c r="H1502" t="s">
        <v>64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t="s">
        <v>22</v>
      </c>
    </row>
    <row r="1503" spans="1:15" x14ac:dyDescent="0.35">
      <c r="A1503" t="s">
        <v>2821</v>
      </c>
      <c r="B1503" s="1">
        <v>45768</v>
      </c>
      <c r="C1503" t="s">
        <v>2822</v>
      </c>
      <c r="D1503" t="s">
        <v>49</v>
      </c>
      <c r="E1503" t="s">
        <v>18</v>
      </c>
      <c r="F1503" t="s">
        <v>19</v>
      </c>
      <c r="G1503" t="s">
        <v>32</v>
      </c>
      <c r="H1503" t="s">
        <v>33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t="s">
        <v>56</v>
      </c>
    </row>
    <row r="1504" spans="1:15" x14ac:dyDescent="0.35">
      <c r="A1504" t="s">
        <v>2823</v>
      </c>
      <c r="B1504" s="1">
        <v>45769</v>
      </c>
      <c r="C1504" t="s">
        <v>2824</v>
      </c>
      <c r="D1504" t="s">
        <v>30</v>
      </c>
      <c r="E1504" t="s">
        <v>31</v>
      </c>
      <c r="F1504" t="s">
        <v>19</v>
      </c>
      <c r="G1504" t="s">
        <v>20</v>
      </c>
      <c r="H1504" t="s">
        <v>199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t="s">
        <v>39</v>
      </c>
    </row>
    <row r="1505" spans="1:15" x14ac:dyDescent="0.35">
      <c r="A1505" t="s">
        <v>2825</v>
      </c>
      <c r="B1505" s="1">
        <v>45769</v>
      </c>
      <c r="C1505" t="s">
        <v>2826</v>
      </c>
      <c r="D1505" t="s">
        <v>17</v>
      </c>
      <c r="E1505" t="s">
        <v>121</v>
      </c>
      <c r="F1505" t="s">
        <v>68</v>
      </c>
      <c r="G1505" t="s">
        <v>69</v>
      </c>
      <c r="H1505" t="s">
        <v>196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t="s">
        <v>56</v>
      </c>
    </row>
    <row r="1506" spans="1:15" x14ac:dyDescent="0.35">
      <c r="A1506" t="s">
        <v>2827</v>
      </c>
      <c r="B1506" s="1">
        <v>45769</v>
      </c>
      <c r="C1506" t="s">
        <v>2828</v>
      </c>
      <c r="D1506" t="s">
        <v>17</v>
      </c>
      <c r="E1506" t="s">
        <v>135</v>
      </c>
      <c r="F1506" t="s">
        <v>26</v>
      </c>
      <c r="G1506" t="s">
        <v>42</v>
      </c>
      <c r="H1506" t="s">
        <v>371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t="s">
        <v>39</v>
      </c>
    </row>
    <row r="1507" spans="1:15" x14ac:dyDescent="0.35">
      <c r="A1507" t="s">
        <v>2829</v>
      </c>
      <c r="B1507" s="1">
        <v>45771</v>
      </c>
      <c r="C1507" t="s">
        <v>2830</v>
      </c>
      <c r="D1507" t="s">
        <v>30</v>
      </c>
      <c r="E1507" t="s">
        <v>59</v>
      </c>
      <c r="F1507" t="s">
        <v>60</v>
      </c>
      <c r="G1507" t="s">
        <v>20</v>
      </c>
      <c r="H1507" t="s">
        <v>38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t="s">
        <v>34</v>
      </c>
    </row>
    <row r="1508" spans="1:15" x14ac:dyDescent="0.35">
      <c r="A1508" t="s">
        <v>2831</v>
      </c>
      <c r="B1508" s="1">
        <v>45772</v>
      </c>
      <c r="C1508" t="s">
        <v>752</v>
      </c>
      <c r="D1508" t="s">
        <v>30</v>
      </c>
      <c r="E1508" t="s">
        <v>53</v>
      </c>
      <c r="F1508" t="s">
        <v>54</v>
      </c>
      <c r="G1508" t="s">
        <v>20</v>
      </c>
      <c r="H1508" t="s">
        <v>264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t="s">
        <v>39</v>
      </c>
    </row>
    <row r="1509" spans="1:15" x14ac:dyDescent="0.35">
      <c r="A1509" t="s">
        <v>2832</v>
      </c>
      <c r="B1509" s="1">
        <v>45772</v>
      </c>
      <c r="C1509" t="s">
        <v>1822</v>
      </c>
      <c r="D1509" t="s">
        <v>30</v>
      </c>
      <c r="E1509" t="s">
        <v>92</v>
      </c>
      <c r="F1509" t="s">
        <v>60</v>
      </c>
      <c r="G1509" t="s">
        <v>42</v>
      </c>
      <c r="H1509" t="s">
        <v>43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t="s">
        <v>34</v>
      </c>
    </row>
    <row r="1510" spans="1:15" x14ac:dyDescent="0.35">
      <c r="A1510" t="s">
        <v>2833</v>
      </c>
      <c r="B1510" s="1">
        <v>45773</v>
      </c>
      <c r="C1510" t="s">
        <v>2834</v>
      </c>
      <c r="D1510" t="s">
        <v>49</v>
      </c>
      <c r="E1510" t="s">
        <v>121</v>
      </c>
      <c r="F1510" t="s">
        <v>68</v>
      </c>
      <c r="G1510" t="s">
        <v>20</v>
      </c>
      <c r="H1510" t="s">
        <v>27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t="s">
        <v>34</v>
      </c>
    </row>
    <row r="1511" spans="1:15" x14ac:dyDescent="0.35">
      <c r="A1511" t="s">
        <v>2835</v>
      </c>
      <c r="B1511" s="1">
        <v>45774</v>
      </c>
      <c r="C1511" t="s">
        <v>2200</v>
      </c>
      <c r="D1511" t="s">
        <v>30</v>
      </c>
      <c r="E1511" t="s">
        <v>135</v>
      </c>
      <c r="F1511" t="s">
        <v>26</v>
      </c>
      <c r="G1511" t="s">
        <v>42</v>
      </c>
      <c r="H1511" t="s">
        <v>294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t="s">
        <v>39</v>
      </c>
    </row>
    <row r="1512" spans="1:15" x14ac:dyDescent="0.35">
      <c r="A1512" t="s">
        <v>2836</v>
      </c>
      <c r="B1512" s="1">
        <v>45774</v>
      </c>
      <c r="C1512" t="s">
        <v>2837</v>
      </c>
      <c r="D1512" t="s">
        <v>30</v>
      </c>
      <c r="E1512" t="s">
        <v>18</v>
      </c>
      <c r="F1512" t="s">
        <v>19</v>
      </c>
      <c r="G1512" t="s">
        <v>20</v>
      </c>
      <c r="H1512" t="s">
        <v>55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t="s">
        <v>39</v>
      </c>
    </row>
    <row r="1513" spans="1:15" x14ac:dyDescent="0.35">
      <c r="A1513" t="s">
        <v>2838</v>
      </c>
      <c r="B1513" s="1">
        <v>45775</v>
      </c>
      <c r="C1513" t="s">
        <v>1511</v>
      </c>
      <c r="D1513" t="s">
        <v>17</v>
      </c>
      <c r="E1513" t="s">
        <v>85</v>
      </c>
      <c r="F1513" t="s">
        <v>60</v>
      </c>
      <c r="G1513" t="s">
        <v>20</v>
      </c>
      <c r="H1513" t="s">
        <v>175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t="s">
        <v>39</v>
      </c>
    </row>
    <row r="1514" spans="1:15" x14ac:dyDescent="0.35">
      <c r="A1514" t="s">
        <v>2839</v>
      </c>
      <c r="B1514" s="1">
        <v>45775</v>
      </c>
      <c r="C1514" t="s">
        <v>2840</v>
      </c>
      <c r="D1514" t="s">
        <v>49</v>
      </c>
      <c r="E1514" t="s">
        <v>37</v>
      </c>
      <c r="F1514" t="s">
        <v>26</v>
      </c>
      <c r="G1514" t="s">
        <v>32</v>
      </c>
      <c r="H1514" t="s">
        <v>132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t="s">
        <v>39</v>
      </c>
    </row>
    <row r="1515" spans="1:15" x14ac:dyDescent="0.35">
      <c r="A1515" t="s">
        <v>2841</v>
      </c>
      <c r="B1515" s="1">
        <v>45775</v>
      </c>
      <c r="C1515" t="s">
        <v>2842</v>
      </c>
      <c r="D1515" t="s">
        <v>49</v>
      </c>
      <c r="E1515" t="s">
        <v>138</v>
      </c>
      <c r="F1515" t="s">
        <v>54</v>
      </c>
      <c r="G1515" t="s">
        <v>32</v>
      </c>
      <c r="H1515" t="s">
        <v>132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t="s">
        <v>39</v>
      </c>
    </row>
    <row r="1516" spans="1:15" x14ac:dyDescent="0.35">
      <c r="A1516" t="s">
        <v>2843</v>
      </c>
      <c r="B1516" s="1">
        <v>45777</v>
      </c>
      <c r="C1516" t="s">
        <v>2844</v>
      </c>
      <c r="D1516" t="s">
        <v>17</v>
      </c>
      <c r="E1516" t="s">
        <v>31</v>
      </c>
      <c r="F1516" t="s">
        <v>19</v>
      </c>
      <c r="G1516" t="s">
        <v>32</v>
      </c>
      <c r="H1516" t="s">
        <v>132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t="s">
        <v>34</v>
      </c>
    </row>
    <row r="1517" spans="1:15" x14ac:dyDescent="0.35">
      <c r="A1517" t="s">
        <v>2845</v>
      </c>
      <c r="B1517" s="1">
        <v>45777</v>
      </c>
      <c r="C1517" t="s">
        <v>2846</v>
      </c>
      <c r="D1517" t="s">
        <v>30</v>
      </c>
      <c r="E1517" t="s">
        <v>31</v>
      </c>
      <c r="F1517" t="s">
        <v>19</v>
      </c>
      <c r="G1517" t="s">
        <v>20</v>
      </c>
      <c r="H1517" t="s">
        <v>199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t="s">
        <v>34</v>
      </c>
    </row>
    <row r="1518" spans="1:15" x14ac:dyDescent="0.35">
      <c r="A1518" t="s">
        <v>2847</v>
      </c>
      <c r="B1518" s="1">
        <v>45778</v>
      </c>
      <c r="C1518" t="s">
        <v>2047</v>
      </c>
      <c r="D1518" t="s">
        <v>49</v>
      </c>
      <c r="E1518" t="s">
        <v>248</v>
      </c>
      <c r="F1518" t="s">
        <v>26</v>
      </c>
      <c r="G1518" t="s">
        <v>69</v>
      </c>
      <c r="H1518" t="s">
        <v>163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t="s">
        <v>39</v>
      </c>
    </row>
    <row r="1519" spans="1:15" x14ac:dyDescent="0.35">
      <c r="A1519" t="s">
        <v>2848</v>
      </c>
      <c r="B1519" s="1">
        <v>45778</v>
      </c>
      <c r="C1519" t="s">
        <v>2693</v>
      </c>
      <c r="D1519" t="s">
        <v>17</v>
      </c>
      <c r="E1519" t="s">
        <v>67</v>
      </c>
      <c r="F1519" t="s">
        <v>68</v>
      </c>
      <c r="G1519" t="s">
        <v>69</v>
      </c>
      <c r="H1519" t="s">
        <v>79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t="s">
        <v>22</v>
      </c>
    </row>
    <row r="1520" spans="1:15" x14ac:dyDescent="0.35">
      <c r="A1520" t="s">
        <v>2849</v>
      </c>
      <c r="B1520" s="1">
        <v>45778</v>
      </c>
      <c r="C1520" t="s">
        <v>2850</v>
      </c>
      <c r="D1520" t="s">
        <v>30</v>
      </c>
      <c r="E1520" t="s">
        <v>76</v>
      </c>
      <c r="F1520" t="s">
        <v>26</v>
      </c>
      <c r="G1520" t="s">
        <v>42</v>
      </c>
      <c r="H1520" t="s">
        <v>371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t="s">
        <v>34</v>
      </c>
    </row>
    <row r="1521" spans="1:15" x14ac:dyDescent="0.35">
      <c r="A1521" t="s">
        <v>2851</v>
      </c>
      <c r="B1521" s="1">
        <v>45779</v>
      </c>
      <c r="C1521" t="s">
        <v>585</v>
      </c>
      <c r="D1521" t="s">
        <v>17</v>
      </c>
      <c r="E1521" t="s">
        <v>135</v>
      </c>
      <c r="F1521" t="s">
        <v>26</v>
      </c>
      <c r="G1521" t="s">
        <v>42</v>
      </c>
      <c r="H1521" t="s">
        <v>234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t="s">
        <v>39</v>
      </c>
    </row>
    <row r="1522" spans="1:15" x14ac:dyDescent="0.35">
      <c r="A1522" t="s">
        <v>2852</v>
      </c>
      <c r="B1522" s="1">
        <v>45779</v>
      </c>
      <c r="C1522" t="s">
        <v>2853</v>
      </c>
      <c r="D1522" t="s">
        <v>30</v>
      </c>
      <c r="E1522" t="s">
        <v>18</v>
      </c>
      <c r="F1522" t="s">
        <v>19</v>
      </c>
      <c r="G1522" t="s">
        <v>42</v>
      </c>
      <c r="H1522" t="s">
        <v>43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t="s">
        <v>34</v>
      </c>
    </row>
    <row r="1523" spans="1:15" x14ac:dyDescent="0.35">
      <c r="A1523" t="s">
        <v>2854</v>
      </c>
      <c r="B1523" s="1">
        <v>45780</v>
      </c>
      <c r="C1523" t="s">
        <v>2855</v>
      </c>
      <c r="D1523" t="s">
        <v>17</v>
      </c>
      <c r="E1523" t="s">
        <v>148</v>
      </c>
      <c r="F1523" t="s">
        <v>60</v>
      </c>
      <c r="G1523" t="s">
        <v>42</v>
      </c>
      <c r="H1523" t="s">
        <v>234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t="s">
        <v>34</v>
      </c>
    </row>
    <row r="1524" spans="1:15" x14ac:dyDescent="0.35">
      <c r="A1524" t="s">
        <v>2856</v>
      </c>
      <c r="B1524" s="1">
        <v>45780</v>
      </c>
      <c r="C1524" t="s">
        <v>2857</v>
      </c>
      <c r="D1524" t="s">
        <v>30</v>
      </c>
      <c r="E1524" t="s">
        <v>85</v>
      </c>
      <c r="F1524" t="s">
        <v>60</v>
      </c>
      <c r="G1524" t="s">
        <v>42</v>
      </c>
      <c r="H1524" t="s">
        <v>43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t="s">
        <v>56</v>
      </c>
    </row>
    <row r="1525" spans="1:15" x14ac:dyDescent="0.35">
      <c r="A1525" t="s">
        <v>2858</v>
      </c>
      <c r="B1525" s="1">
        <v>45781</v>
      </c>
      <c r="C1525" t="s">
        <v>2859</v>
      </c>
      <c r="D1525" t="s">
        <v>30</v>
      </c>
      <c r="E1525" t="s">
        <v>37</v>
      </c>
      <c r="F1525" t="s">
        <v>26</v>
      </c>
      <c r="G1525" t="s">
        <v>32</v>
      </c>
      <c r="H1525" t="s">
        <v>82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t="s">
        <v>34</v>
      </c>
    </row>
    <row r="1526" spans="1:15" x14ac:dyDescent="0.35">
      <c r="A1526" t="s">
        <v>2860</v>
      </c>
      <c r="B1526" s="1">
        <v>45781</v>
      </c>
      <c r="C1526" t="s">
        <v>2861</v>
      </c>
      <c r="D1526" t="s">
        <v>49</v>
      </c>
      <c r="E1526" t="s">
        <v>248</v>
      </c>
      <c r="F1526" t="s">
        <v>26</v>
      </c>
      <c r="G1526" t="s">
        <v>20</v>
      </c>
      <c r="H1526" t="s">
        <v>27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t="s">
        <v>39</v>
      </c>
    </row>
    <row r="1527" spans="1:15" x14ac:dyDescent="0.35">
      <c r="A1527" t="s">
        <v>2862</v>
      </c>
      <c r="B1527" s="1">
        <v>45781</v>
      </c>
      <c r="C1527" t="s">
        <v>1394</v>
      </c>
      <c r="D1527" t="s">
        <v>30</v>
      </c>
      <c r="E1527" t="s">
        <v>109</v>
      </c>
      <c r="F1527" t="s">
        <v>54</v>
      </c>
      <c r="G1527" t="s">
        <v>42</v>
      </c>
      <c r="H1527" t="s">
        <v>43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t="s">
        <v>39</v>
      </c>
    </row>
    <row r="1528" spans="1:15" x14ac:dyDescent="0.35">
      <c r="A1528" t="s">
        <v>2863</v>
      </c>
      <c r="B1528" s="1">
        <v>45781</v>
      </c>
      <c r="C1528" t="s">
        <v>2864</v>
      </c>
      <c r="D1528" t="s">
        <v>49</v>
      </c>
      <c r="E1528" t="s">
        <v>18</v>
      </c>
      <c r="F1528" t="s">
        <v>19</v>
      </c>
      <c r="G1528" t="s">
        <v>20</v>
      </c>
      <c r="H1528" t="s">
        <v>106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t="s">
        <v>56</v>
      </c>
    </row>
    <row r="1529" spans="1:15" x14ac:dyDescent="0.35">
      <c r="A1529" t="s">
        <v>2865</v>
      </c>
      <c r="B1529" s="1">
        <v>45783</v>
      </c>
      <c r="C1529" t="s">
        <v>1958</v>
      </c>
      <c r="D1529" t="s">
        <v>30</v>
      </c>
      <c r="E1529" t="s">
        <v>129</v>
      </c>
      <c r="F1529" t="s">
        <v>19</v>
      </c>
      <c r="G1529" t="s">
        <v>20</v>
      </c>
      <c r="H1529" t="s">
        <v>170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t="s">
        <v>34</v>
      </c>
    </row>
    <row r="1530" spans="1:15" x14ac:dyDescent="0.35">
      <c r="A1530" t="s">
        <v>2866</v>
      </c>
      <c r="B1530" s="1">
        <v>45783</v>
      </c>
      <c r="C1530" t="s">
        <v>2867</v>
      </c>
      <c r="D1530" t="s">
        <v>30</v>
      </c>
      <c r="E1530" t="s">
        <v>67</v>
      </c>
      <c r="F1530" t="s">
        <v>68</v>
      </c>
      <c r="G1530" t="s">
        <v>20</v>
      </c>
      <c r="H1530" t="s">
        <v>21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t="s">
        <v>34</v>
      </c>
    </row>
    <row r="1531" spans="1:15" x14ac:dyDescent="0.35">
      <c r="A1531" t="s">
        <v>2868</v>
      </c>
      <c r="B1531" s="1">
        <v>45783</v>
      </c>
      <c r="C1531" t="s">
        <v>2869</v>
      </c>
      <c r="D1531" t="s">
        <v>30</v>
      </c>
      <c r="E1531" t="s">
        <v>121</v>
      </c>
      <c r="F1531" t="s">
        <v>68</v>
      </c>
      <c r="G1531" t="s">
        <v>69</v>
      </c>
      <c r="H1531" t="s">
        <v>305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t="s">
        <v>39</v>
      </c>
    </row>
    <row r="1532" spans="1:15" x14ac:dyDescent="0.35">
      <c r="A1532" t="s">
        <v>2870</v>
      </c>
      <c r="B1532" s="1">
        <v>45783</v>
      </c>
      <c r="C1532" t="s">
        <v>2871</v>
      </c>
      <c r="D1532" t="s">
        <v>30</v>
      </c>
      <c r="E1532" t="s">
        <v>129</v>
      </c>
      <c r="F1532" t="s">
        <v>19</v>
      </c>
      <c r="G1532" t="s">
        <v>20</v>
      </c>
      <c r="H1532" t="s">
        <v>122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t="s">
        <v>39</v>
      </c>
    </row>
    <row r="1533" spans="1:15" x14ac:dyDescent="0.35">
      <c r="A1533" t="s">
        <v>2872</v>
      </c>
      <c r="B1533" s="1">
        <v>45784</v>
      </c>
      <c r="C1533" t="s">
        <v>2873</v>
      </c>
      <c r="D1533" t="s">
        <v>17</v>
      </c>
      <c r="E1533" t="s">
        <v>18</v>
      </c>
      <c r="F1533" t="s">
        <v>19</v>
      </c>
      <c r="G1533" t="s">
        <v>69</v>
      </c>
      <c r="H1533" t="s">
        <v>243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t="s">
        <v>39</v>
      </c>
    </row>
    <row r="1534" spans="1:15" x14ac:dyDescent="0.35">
      <c r="A1534" t="s">
        <v>2874</v>
      </c>
      <c r="B1534" s="1">
        <v>45784</v>
      </c>
      <c r="C1534" t="s">
        <v>2875</v>
      </c>
      <c r="D1534" t="s">
        <v>30</v>
      </c>
      <c r="E1534" t="s">
        <v>148</v>
      </c>
      <c r="F1534" t="s">
        <v>60</v>
      </c>
      <c r="G1534" t="s">
        <v>42</v>
      </c>
      <c r="H1534" t="s">
        <v>294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t="s">
        <v>34</v>
      </c>
    </row>
    <row r="1535" spans="1:15" x14ac:dyDescent="0.35">
      <c r="A1535" t="s">
        <v>2876</v>
      </c>
      <c r="B1535" s="1">
        <v>45785</v>
      </c>
      <c r="C1535" t="s">
        <v>1111</v>
      </c>
      <c r="D1535" t="s">
        <v>30</v>
      </c>
      <c r="E1535" t="s">
        <v>148</v>
      </c>
      <c r="F1535" t="s">
        <v>60</v>
      </c>
      <c r="G1535" t="s">
        <v>32</v>
      </c>
      <c r="H1535" t="s">
        <v>115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t="s">
        <v>22</v>
      </c>
    </row>
    <row r="1536" spans="1:15" x14ac:dyDescent="0.35">
      <c r="A1536" t="s">
        <v>2877</v>
      </c>
      <c r="B1536" s="1">
        <v>45785</v>
      </c>
      <c r="C1536" t="s">
        <v>2878</v>
      </c>
      <c r="D1536" t="s">
        <v>17</v>
      </c>
      <c r="E1536" t="s">
        <v>135</v>
      </c>
      <c r="F1536" t="s">
        <v>26</v>
      </c>
      <c r="G1536" t="s">
        <v>42</v>
      </c>
      <c r="H1536" t="s">
        <v>294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t="s">
        <v>39</v>
      </c>
    </row>
    <row r="1537" spans="1:15" x14ac:dyDescent="0.35">
      <c r="A1537" t="s">
        <v>2879</v>
      </c>
      <c r="B1537" s="1">
        <v>45785</v>
      </c>
      <c r="C1537" t="s">
        <v>1160</v>
      </c>
      <c r="D1537" t="s">
        <v>30</v>
      </c>
      <c r="E1537" t="s">
        <v>169</v>
      </c>
      <c r="F1537" t="s">
        <v>68</v>
      </c>
      <c r="G1537" t="s">
        <v>32</v>
      </c>
      <c r="H1537" t="s">
        <v>115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t="s">
        <v>39</v>
      </c>
    </row>
    <row r="1538" spans="1:15" x14ac:dyDescent="0.35">
      <c r="A1538" t="s">
        <v>2880</v>
      </c>
      <c r="B1538" s="1">
        <v>45785</v>
      </c>
      <c r="C1538" t="s">
        <v>2881</v>
      </c>
      <c r="D1538" t="s">
        <v>49</v>
      </c>
      <c r="E1538" t="s">
        <v>166</v>
      </c>
      <c r="F1538" t="s">
        <v>60</v>
      </c>
      <c r="G1538" t="s">
        <v>32</v>
      </c>
      <c r="H1538" t="s">
        <v>82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t="s">
        <v>34</v>
      </c>
    </row>
    <row r="1539" spans="1:15" x14ac:dyDescent="0.35">
      <c r="A1539" t="s">
        <v>2882</v>
      </c>
      <c r="B1539" s="1">
        <v>45785</v>
      </c>
      <c r="C1539" t="s">
        <v>2883</v>
      </c>
      <c r="D1539" t="s">
        <v>30</v>
      </c>
      <c r="E1539" t="s">
        <v>59</v>
      </c>
      <c r="F1539" t="s">
        <v>60</v>
      </c>
      <c r="G1539" t="s">
        <v>20</v>
      </c>
      <c r="H1539" t="s">
        <v>199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t="s">
        <v>39</v>
      </c>
    </row>
    <row r="1540" spans="1:15" x14ac:dyDescent="0.35">
      <c r="A1540" t="s">
        <v>2884</v>
      </c>
      <c r="B1540" s="1">
        <v>45786</v>
      </c>
      <c r="C1540" t="s">
        <v>2885</v>
      </c>
      <c r="D1540" t="s">
        <v>30</v>
      </c>
      <c r="E1540" t="s">
        <v>148</v>
      </c>
      <c r="F1540" t="s">
        <v>60</v>
      </c>
      <c r="G1540" t="s">
        <v>20</v>
      </c>
      <c r="H1540" t="s">
        <v>175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t="s">
        <v>39</v>
      </c>
    </row>
    <row r="1541" spans="1:15" x14ac:dyDescent="0.35">
      <c r="A1541" t="s">
        <v>2886</v>
      </c>
      <c r="B1541" s="1">
        <v>45786</v>
      </c>
      <c r="C1541" t="s">
        <v>2887</v>
      </c>
      <c r="D1541" t="s">
        <v>30</v>
      </c>
      <c r="E1541" t="s">
        <v>31</v>
      </c>
      <c r="F1541" t="s">
        <v>19</v>
      </c>
      <c r="G1541" t="s">
        <v>69</v>
      </c>
      <c r="H1541" t="s">
        <v>79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t="s">
        <v>56</v>
      </c>
    </row>
    <row r="1542" spans="1:15" x14ac:dyDescent="0.35">
      <c r="A1542" t="s">
        <v>2888</v>
      </c>
      <c r="B1542" s="1">
        <v>45786</v>
      </c>
      <c r="C1542" t="s">
        <v>1150</v>
      </c>
      <c r="D1542" t="s">
        <v>30</v>
      </c>
      <c r="E1542" t="s">
        <v>121</v>
      </c>
      <c r="F1542" t="s">
        <v>68</v>
      </c>
      <c r="G1542" t="s">
        <v>69</v>
      </c>
      <c r="H1542" t="s">
        <v>98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t="s">
        <v>39</v>
      </c>
    </row>
    <row r="1543" spans="1:15" x14ac:dyDescent="0.35">
      <c r="A1543" t="s">
        <v>2889</v>
      </c>
      <c r="B1543" s="1">
        <v>45787</v>
      </c>
      <c r="C1543" t="s">
        <v>2890</v>
      </c>
      <c r="D1543" t="s">
        <v>17</v>
      </c>
      <c r="E1543" t="s">
        <v>135</v>
      </c>
      <c r="F1543" t="s">
        <v>26</v>
      </c>
      <c r="G1543" t="s">
        <v>42</v>
      </c>
      <c r="H1543" t="s">
        <v>64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t="s">
        <v>39</v>
      </c>
    </row>
    <row r="1544" spans="1:15" x14ac:dyDescent="0.35">
      <c r="A1544" t="s">
        <v>2891</v>
      </c>
      <c r="B1544" s="1">
        <v>45787</v>
      </c>
      <c r="C1544" t="s">
        <v>2892</v>
      </c>
      <c r="D1544" t="s">
        <v>30</v>
      </c>
      <c r="E1544" t="s">
        <v>135</v>
      </c>
      <c r="F1544" t="s">
        <v>26</v>
      </c>
      <c r="G1544" t="s">
        <v>42</v>
      </c>
      <c r="H1544" t="s">
        <v>294</v>
      </c>
      <c r="I1544">
        <v>8</v>
      </c>
      <c r="J1544">
        <v>184.19</v>
      </c>
      <c r="K1544">
        <v>5</v>
      </c>
      <c r="L1544">
        <v>1399.84</v>
      </c>
      <c r="M1544">
        <v>12.28</v>
      </c>
      <c r="N1544">
        <v>503.45</v>
      </c>
      <c r="O1544" t="s">
        <v>22</v>
      </c>
    </row>
    <row r="1545" spans="1:15" x14ac:dyDescent="0.35">
      <c r="A1545" t="s">
        <v>2893</v>
      </c>
      <c r="B1545" s="1">
        <v>45788</v>
      </c>
      <c r="C1545" t="s">
        <v>2894</v>
      </c>
      <c r="D1545" t="s">
        <v>30</v>
      </c>
      <c r="E1545" t="s">
        <v>166</v>
      </c>
      <c r="F1545" t="s">
        <v>60</v>
      </c>
      <c r="G1545" t="s">
        <v>32</v>
      </c>
      <c r="H1545" t="s">
        <v>101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t="s">
        <v>34</v>
      </c>
    </row>
    <row r="1546" spans="1:15" x14ac:dyDescent="0.35">
      <c r="A1546" t="s">
        <v>2895</v>
      </c>
      <c r="B1546" s="1">
        <v>45788</v>
      </c>
      <c r="C1546" t="s">
        <v>2896</v>
      </c>
      <c r="D1546" t="s">
        <v>17</v>
      </c>
      <c r="E1546" t="s">
        <v>121</v>
      </c>
      <c r="F1546" t="s">
        <v>68</v>
      </c>
      <c r="G1546" t="s">
        <v>32</v>
      </c>
      <c r="H1546" t="s">
        <v>101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t="s">
        <v>39</v>
      </c>
    </row>
    <row r="1547" spans="1:15" x14ac:dyDescent="0.35">
      <c r="A1547" t="s">
        <v>2897</v>
      </c>
      <c r="B1547" s="1">
        <v>45789</v>
      </c>
      <c r="C1547" t="s">
        <v>2898</v>
      </c>
      <c r="D1547" t="s">
        <v>30</v>
      </c>
      <c r="E1547" t="s">
        <v>129</v>
      </c>
      <c r="F1547" t="s">
        <v>19</v>
      </c>
      <c r="G1547" t="s">
        <v>32</v>
      </c>
      <c r="H1547" t="s">
        <v>50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t="s">
        <v>34</v>
      </c>
    </row>
    <row r="1548" spans="1:15" x14ac:dyDescent="0.35">
      <c r="A1548" t="s">
        <v>2899</v>
      </c>
      <c r="B1548" s="1">
        <v>45789</v>
      </c>
      <c r="C1548" t="s">
        <v>2362</v>
      </c>
      <c r="D1548" t="s">
        <v>17</v>
      </c>
      <c r="E1548" t="s">
        <v>129</v>
      </c>
      <c r="F1548" t="s">
        <v>19</v>
      </c>
      <c r="G1548" t="s">
        <v>69</v>
      </c>
      <c r="H1548" t="s">
        <v>70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t="s">
        <v>34</v>
      </c>
    </row>
    <row r="1549" spans="1:15" x14ac:dyDescent="0.35">
      <c r="A1549" t="s">
        <v>2900</v>
      </c>
      <c r="B1549" s="1">
        <v>45789</v>
      </c>
      <c r="C1549" t="s">
        <v>2901</v>
      </c>
      <c r="D1549" t="s">
        <v>30</v>
      </c>
      <c r="E1549" t="s">
        <v>25</v>
      </c>
      <c r="F1549" t="s">
        <v>26</v>
      </c>
      <c r="G1549" t="s">
        <v>20</v>
      </c>
      <c r="H1549" t="s">
        <v>264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t="s">
        <v>34</v>
      </c>
    </row>
    <row r="1550" spans="1:15" x14ac:dyDescent="0.35">
      <c r="A1550" t="s">
        <v>2902</v>
      </c>
      <c r="B1550" s="1">
        <v>45790</v>
      </c>
      <c r="C1550" t="s">
        <v>1231</v>
      </c>
      <c r="D1550" t="s">
        <v>30</v>
      </c>
      <c r="E1550" t="s">
        <v>85</v>
      </c>
      <c r="F1550" t="s">
        <v>60</v>
      </c>
      <c r="G1550" t="s">
        <v>32</v>
      </c>
      <c r="H1550" t="s">
        <v>33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t="s">
        <v>39</v>
      </c>
    </row>
    <row r="1551" spans="1:15" x14ac:dyDescent="0.35">
      <c r="A1551" t="s">
        <v>2903</v>
      </c>
      <c r="B1551" s="1">
        <v>45790</v>
      </c>
      <c r="C1551" t="s">
        <v>591</v>
      </c>
      <c r="D1551" t="s">
        <v>17</v>
      </c>
      <c r="E1551" t="s">
        <v>18</v>
      </c>
      <c r="F1551" t="s">
        <v>19</v>
      </c>
      <c r="G1551" t="s">
        <v>69</v>
      </c>
      <c r="H1551" t="s">
        <v>86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t="s">
        <v>22</v>
      </c>
    </row>
    <row r="1552" spans="1:15" x14ac:dyDescent="0.35">
      <c r="A1552" t="s">
        <v>2904</v>
      </c>
      <c r="B1552" s="1">
        <v>45790</v>
      </c>
      <c r="C1552" t="s">
        <v>2905</v>
      </c>
      <c r="D1552" t="s">
        <v>49</v>
      </c>
      <c r="E1552" t="s">
        <v>85</v>
      </c>
      <c r="F1552" t="s">
        <v>60</v>
      </c>
      <c r="G1552" t="s">
        <v>69</v>
      </c>
      <c r="H1552" t="s">
        <v>98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t="s">
        <v>56</v>
      </c>
    </row>
    <row r="1553" spans="1:15" x14ac:dyDescent="0.35">
      <c r="A1553" t="s">
        <v>2906</v>
      </c>
      <c r="B1553" s="1">
        <v>45790</v>
      </c>
      <c r="C1553" t="s">
        <v>498</v>
      </c>
      <c r="D1553" t="s">
        <v>30</v>
      </c>
      <c r="E1553" t="s">
        <v>135</v>
      </c>
      <c r="F1553" t="s">
        <v>26</v>
      </c>
      <c r="G1553" t="s">
        <v>69</v>
      </c>
      <c r="H1553" t="s">
        <v>305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t="s">
        <v>34</v>
      </c>
    </row>
    <row r="1554" spans="1:15" x14ac:dyDescent="0.35">
      <c r="A1554" t="s">
        <v>2907</v>
      </c>
      <c r="B1554" s="1">
        <v>45790</v>
      </c>
      <c r="C1554" t="s">
        <v>1940</v>
      </c>
      <c r="D1554" t="s">
        <v>17</v>
      </c>
      <c r="E1554" t="s">
        <v>67</v>
      </c>
      <c r="F1554" t="s">
        <v>68</v>
      </c>
      <c r="G1554" t="s">
        <v>20</v>
      </c>
      <c r="H1554" t="s">
        <v>106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t="s">
        <v>39</v>
      </c>
    </row>
    <row r="1555" spans="1:15" x14ac:dyDescent="0.35">
      <c r="A1555" t="s">
        <v>2908</v>
      </c>
      <c r="B1555" s="1">
        <v>45790</v>
      </c>
      <c r="C1555" t="s">
        <v>2909</v>
      </c>
      <c r="D1555" t="s">
        <v>30</v>
      </c>
      <c r="E1555" t="s">
        <v>63</v>
      </c>
      <c r="F1555" t="s">
        <v>54</v>
      </c>
      <c r="G1555" t="s">
        <v>69</v>
      </c>
      <c r="H1555" t="s">
        <v>160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t="s">
        <v>34</v>
      </c>
    </row>
    <row r="1556" spans="1:15" x14ac:dyDescent="0.35">
      <c r="A1556" t="s">
        <v>2910</v>
      </c>
      <c r="B1556" s="1">
        <v>45791</v>
      </c>
      <c r="C1556" t="s">
        <v>1711</v>
      </c>
      <c r="D1556" t="s">
        <v>30</v>
      </c>
      <c r="E1556" t="s">
        <v>138</v>
      </c>
      <c r="F1556" t="s">
        <v>54</v>
      </c>
      <c r="G1556" t="s">
        <v>42</v>
      </c>
      <c r="H1556" t="s">
        <v>46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t="s">
        <v>34</v>
      </c>
    </row>
    <row r="1557" spans="1:15" x14ac:dyDescent="0.35">
      <c r="A1557" t="s">
        <v>2911</v>
      </c>
      <c r="B1557" s="1">
        <v>45792</v>
      </c>
      <c r="C1557" t="s">
        <v>2912</v>
      </c>
      <c r="D1557" t="s">
        <v>30</v>
      </c>
      <c r="E1557" t="s">
        <v>92</v>
      </c>
      <c r="F1557" t="s">
        <v>60</v>
      </c>
      <c r="G1557" t="s">
        <v>42</v>
      </c>
      <c r="H1557" t="s">
        <v>43</v>
      </c>
      <c r="I1557">
        <v>8</v>
      </c>
      <c r="J1557">
        <v>323.26</v>
      </c>
      <c r="K1557">
        <v>10</v>
      </c>
      <c r="L1557">
        <v>2327.4699999999998</v>
      </c>
      <c r="M1557">
        <v>15.77</v>
      </c>
      <c r="N1557">
        <v>760.05</v>
      </c>
      <c r="O1557" t="s">
        <v>39</v>
      </c>
    </row>
    <row r="1558" spans="1:15" x14ac:dyDescent="0.35">
      <c r="A1558" t="s">
        <v>2913</v>
      </c>
      <c r="B1558" s="1">
        <v>45792</v>
      </c>
      <c r="C1558" t="s">
        <v>2145</v>
      </c>
      <c r="D1558" t="s">
        <v>17</v>
      </c>
      <c r="E1558" t="s">
        <v>85</v>
      </c>
      <c r="F1558" t="s">
        <v>60</v>
      </c>
      <c r="G1558" t="s">
        <v>32</v>
      </c>
      <c r="H1558" t="s">
        <v>132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t="s">
        <v>34</v>
      </c>
    </row>
    <row r="1559" spans="1:15" x14ac:dyDescent="0.35">
      <c r="A1559" t="s">
        <v>2914</v>
      </c>
      <c r="B1559" s="1">
        <v>45792</v>
      </c>
      <c r="C1559" t="s">
        <v>213</v>
      </c>
      <c r="D1559" t="s">
        <v>17</v>
      </c>
      <c r="E1559" t="s">
        <v>121</v>
      </c>
      <c r="F1559" t="s">
        <v>68</v>
      </c>
      <c r="G1559" t="s">
        <v>32</v>
      </c>
      <c r="H1559" t="s">
        <v>348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t="s">
        <v>34</v>
      </c>
    </row>
    <row r="1560" spans="1:15" x14ac:dyDescent="0.35">
      <c r="A1560" t="s">
        <v>2915</v>
      </c>
      <c r="B1560" s="1">
        <v>45793</v>
      </c>
      <c r="C1560" t="s">
        <v>2916</v>
      </c>
      <c r="D1560" t="s">
        <v>30</v>
      </c>
      <c r="E1560" t="s">
        <v>31</v>
      </c>
      <c r="F1560" t="s">
        <v>19</v>
      </c>
      <c r="G1560" t="s">
        <v>20</v>
      </c>
      <c r="H1560" t="s">
        <v>55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t="s">
        <v>39</v>
      </c>
    </row>
    <row r="1561" spans="1:15" x14ac:dyDescent="0.35">
      <c r="A1561" t="s">
        <v>2917</v>
      </c>
      <c r="B1561" s="1">
        <v>45793</v>
      </c>
      <c r="C1561" t="s">
        <v>1894</v>
      </c>
      <c r="D1561" t="s">
        <v>49</v>
      </c>
      <c r="E1561" t="s">
        <v>138</v>
      </c>
      <c r="F1561" t="s">
        <v>54</v>
      </c>
      <c r="G1561" t="s">
        <v>20</v>
      </c>
      <c r="H1561" t="s">
        <v>21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t="s">
        <v>22</v>
      </c>
    </row>
    <row r="1562" spans="1:15" x14ac:dyDescent="0.35">
      <c r="A1562" t="s">
        <v>2918</v>
      </c>
      <c r="B1562" s="1">
        <v>45793</v>
      </c>
      <c r="C1562" t="s">
        <v>1096</v>
      </c>
      <c r="D1562" t="s">
        <v>17</v>
      </c>
      <c r="E1562" t="s">
        <v>53</v>
      </c>
      <c r="F1562" t="s">
        <v>54</v>
      </c>
      <c r="G1562" t="s">
        <v>42</v>
      </c>
      <c r="H1562" t="s">
        <v>118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t="s">
        <v>39</v>
      </c>
    </row>
    <row r="1563" spans="1:15" x14ac:dyDescent="0.35">
      <c r="A1563" t="s">
        <v>2919</v>
      </c>
      <c r="B1563" s="1">
        <v>45794</v>
      </c>
      <c r="C1563" t="s">
        <v>2920</v>
      </c>
      <c r="D1563" t="s">
        <v>17</v>
      </c>
      <c r="E1563" t="s">
        <v>31</v>
      </c>
      <c r="F1563" t="s">
        <v>19</v>
      </c>
      <c r="G1563" t="s">
        <v>32</v>
      </c>
      <c r="H1563" t="s">
        <v>132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t="s">
        <v>56</v>
      </c>
    </row>
    <row r="1564" spans="1:15" x14ac:dyDescent="0.35">
      <c r="A1564" t="s">
        <v>2921</v>
      </c>
      <c r="B1564" s="1">
        <v>45794</v>
      </c>
      <c r="C1564" t="s">
        <v>2922</v>
      </c>
      <c r="D1564" t="s">
        <v>17</v>
      </c>
      <c r="E1564" t="s">
        <v>18</v>
      </c>
      <c r="F1564" t="s">
        <v>19</v>
      </c>
      <c r="G1564" t="s">
        <v>69</v>
      </c>
      <c r="H1564" t="s">
        <v>196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t="s">
        <v>34</v>
      </c>
    </row>
    <row r="1565" spans="1:15" x14ac:dyDescent="0.35">
      <c r="A1565" t="s">
        <v>2923</v>
      </c>
      <c r="B1565" s="1">
        <v>45795</v>
      </c>
      <c r="C1565" t="s">
        <v>2924</v>
      </c>
      <c r="D1565" t="s">
        <v>30</v>
      </c>
      <c r="E1565" t="s">
        <v>31</v>
      </c>
      <c r="F1565" t="s">
        <v>19</v>
      </c>
      <c r="G1565" t="s">
        <v>32</v>
      </c>
      <c r="H1565" t="s">
        <v>33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t="s">
        <v>39</v>
      </c>
    </row>
    <row r="1566" spans="1:15" x14ac:dyDescent="0.35">
      <c r="A1566" t="s">
        <v>2925</v>
      </c>
      <c r="B1566" s="1">
        <v>45795</v>
      </c>
      <c r="C1566" t="s">
        <v>2926</v>
      </c>
      <c r="D1566" t="s">
        <v>30</v>
      </c>
      <c r="E1566" t="s">
        <v>169</v>
      </c>
      <c r="F1566" t="s">
        <v>68</v>
      </c>
      <c r="G1566" t="s">
        <v>32</v>
      </c>
      <c r="H1566" t="s">
        <v>115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t="s">
        <v>39</v>
      </c>
    </row>
    <row r="1567" spans="1:15" x14ac:dyDescent="0.35">
      <c r="A1567" t="s">
        <v>2927</v>
      </c>
      <c r="B1567" s="1">
        <v>45795</v>
      </c>
      <c r="C1567" t="s">
        <v>2928</v>
      </c>
      <c r="D1567" t="s">
        <v>17</v>
      </c>
      <c r="E1567" t="s">
        <v>18</v>
      </c>
      <c r="F1567" t="s">
        <v>19</v>
      </c>
      <c r="G1567" t="s">
        <v>69</v>
      </c>
      <c r="H1567" t="s">
        <v>160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t="s">
        <v>22</v>
      </c>
    </row>
    <row r="1568" spans="1:15" x14ac:dyDescent="0.35">
      <c r="A1568" t="s">
        <v>2929</v>
      </c>
      <c r="B1568" s="1">
        <v>45795</v>
      </c>
      <c r="C1568" t="s">
        <v>2930</v>
      </c>
      <c r="D1568" t="s">
        <v>30</v>
      </c>
      <c r="E1568" t="s">
        <v>85</v>
      </c>
      <c r="F1568" t="s">
        <v>60</v>
      </c>
      <c r="G1568" t="s">
        <v>32</v>
      </c>
      <c r="H1568" t="s">
        <v>149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t="s">
        <v>22</v>
      </c>
    </row>
    <row r="1569" spans="1:15" x14ac:dyDescent="0.35">
      <c r="A1569" t="s">
        <v>2931</v>
      </c>
      <c r="B1569" s="1">
        <v>45797</v>
      </c>
      <c r="C1569" t="s">
        <v>2785</v>
      </c>
      <c r="D1569" t="s">
        <v>30</v>
      </c>
      <c r="E1569" t="s">
        <v>18</v>
      </c>
      <c r="F1569" t="s">
        <v>19</v>
      </c>
      <c r="G1569" t="s">
        <v>32</v>
      </c>
      <c r="H1569" t="s">
        <v>149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t="s">
        <v>34</v>
      </c>
    </row>
    <row r="1570" spans="1:15" x14ac:dyDescent="0.35">
      <c r="A1570" t="s">
        <v>2932</v>
      </c>
      <c r="B1570" s="1">
        <v>45797</v>
      </c>
      <c r="C1570" t="s">
        <v>2933</v>
      </c>
      <c r="D1570" t="s">
        <v>17</v>
      </c>
      <c r="E1570" t="s">
        <v>37</v>
      </c>
      <c r="F1570" t="s">
        <v>26</v>
      </c>
      <c r="G1570" t="s">
        <v>42</v>
      </c>
      <c r="H1570" t="s">
        <v>93</v>
      </c>
      <c r="I1570">
        <v>5</v>
      </c>
      <c r="J1570">
        <v>243.91</v>
      </c>
      <c r="K1570">
        <v>5</v>
      </c>
      <c r="L1570">
        <v>1158.57</v>
      </c>
      <c r="M1570">
        <v>17.690000000000001</v>
      </c>
      <c r="N1570">
        <v>409.15</v>
      </c>
      <c r="O1570" t="s">
        <v>34</v>
      </c>
    </row>
    <row r="1571" spans="1:15" x14ac:dyDescent="0.35">
      <c r="A1571" t="s">
        <v>2934</v>
      </c>
      <c r="B1571" s="1">
        <v>45797</v>
      </c>
      <c r="C1571" t="s">
        <v>2935</v>
      </c>
      <c r="D1571" t="s">
        <v>17</v>
      </c>
      <c r="E1571" t="s">
        <v>138</v>
      </c>
      <c r="F1571" t="s">
        <v>54</v>
      </c>
      <c r="G1571" t="s">
        <v>32</v>
      </c>
      <c r="H1571" t="s">
        <v>110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t="s">
        <v>39</v>
      </c>
    </row>
    <row r="1572" spans="1:15" x14ac:dyDescent="0.35">
      <c r="A1572" t="s">
        <v>2936</v>
      </c>
      <c r="B1572" s="1">
        <v>45797</v>
      </c>
      <c r="C1572" t="s">
        <v>2937</v>
      </c>
      <c r="D1572" t="s">
        <v>17</v>
      </c>
      <c r="E1572" t="s">
        <v>109</v>
      </c>
      <c r="F1572" t="s">
        <v>54</v>
      </c>
      <c r="G1572" t="s">
        <v>42</v>
      </c>
      <c r="H1572" t="s">
        <v>234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t="s">
        <v>56</v>
      </c>
    </row>
    <row r="1573" spans="1:15" x14ac:dyDescent="0.35">
      <c r="A1573" t="s">
        <v>2938</v>
      </c>
      <c r="B1573" s="1">
        <v>45798</v>
      </c>
      <c r="C1573" t="s">
        <v>2939</v>
      </c>
      <c r="D1573" t="s">
        <v>30</v>
      </c>
      <c r="E1573" t="s">
        <v>18</v>
      </c>
      <c r="F1573" t="s">
        <v>19</v>
      </c>
      <c r="G1573" t="s">
        <v>42</v>
      </c>
      <c r="H1573" t="s">
        <v>46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t="s">
        <v>56</v>
      </c>
    </row>
    <row r="1574" spans="1:15" x14ac:dyDescent="0.35">
      <c r="A1574" t="s">
        <v>2940</v>
      </c>
      <c r="B1574" s="1">
        <v>45799</v>
      </c>
      <c r="C1574" t="s">
        <v>2941</v>
      </c>
      <c r="D1574" t="s">
        <v>17</v>
      </c>
      <c r="E1574" t="s">
        <v>25</v>
      </c>
      <c r="F1574" t="s">
        <v>26</v>
      </c>
      <c r="G1574" t="s">
        <v>20</v>
      </c>
      <c r="H1574" t="s">
        <v>264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t="s">
        <v>22</v>
      </c>
    </row>
    <row r="1575" spans="1:15" x14ac:dyDescent="0.35">
      <c r="A1575" t="s">
        <v>2942</v>
      </c>
      <c r="B1575" s="1">
        <v>45799</v>
      </c>
      <c r="C1575" t="s">
        <v>2943</v>
      </c>
      <c r="D1575" t="s">
        <v>30</v>
      </c>
      <c r="E1575" t="s">
        <v>248</v>
      </c>
      <c r="F1575" t="s">
        <v>26</v>
      </c>
      <c r="G1575" t="s">
        <v>42</v>
      </c>
      <c r="H1575" t="s">
        <v>294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t="s">
        <v>34</v>
      </c>
    </row>
    <row r="1576" spans="1:15" x14ac:dyDescent="0.35">
      <c r="A1576" t="s">
        <v>2944</v>
      </c>
      <c r="B1576" s="1">
        <v>45801</v>
      </c>
      <c r="C1576" t="s">
        <v>1678</v>
      </c>
      <c r="D1576" t="s">
        <v>17</v>
      </c>
      <c r="E1576" t="s">
        <v>59</v>
      </c>
      <c r="F1576" t="s">
        <v>60</v>
      </c>
      <c r="G1576" t="s">
        <v>32</v>
      </c>
      <c r="H1576" t="s">
        <v>50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t="s">
        <v>34</v>
      </c>
    </row>
    <row r="1577" spans="1:15" x14ac:dyDescent="0.35">
      <c r="A1577" t="s">
        <v>2945</v>
      </c>
      <c r="B1577" s="1">
        <v>45801</v>
      </c>
      <c r="C1577" t="s">
        <v>2946</v>
      </c>
      <c r="D1577" t="s">
        <v>17</v>
      </c>
      <c r="E1577" t="s">
        <v>166</v>
      </c>
      <c r="F1577" t="s">
        <v>60</v>
      </c>
      <c r="G1577" t="s">
        <v>32</v>
      </c>
      <c r="H1577" t="s">
        <v>101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t="s">
        <v>39</v>
      </c>
    </row>
    <row r="1578" spans="1:15" x14ac:dyDescent="0.35">
      <c r="A1578" t="s">
        <v>2947</v>
      </c>
      <c r="B1578" s="1">
        <v>45803</v>
      </c>
      <c r="C1578" t="s">
        <v>1058</v>
      </c>
      <c r="D1578" t="s">
        <v>49</v>
      </c>
      <c r="E1578" t="s">
        <v>76</v>
      </c>
      <c r="F1578" t="s">
        <v>26</v>
      </c>
      <c r="G1578" t="s">
        <v>42</v>
      </c>
      <c r="H1578" t="s">
        <v>255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t="s">
        <v>34</v>
      </c>
    </row>
    <row r="1579" spans="1:15" x14ac:dyDescent="0.35">
      <c r="A1579" t="s">
        <v>2948</v>
      </c>
      <c r="B1579" s="1">
        <v>45804</v>
      </c>
      <c r="C1579" t="s">
        <v>2949</v>
      </c>
      <c r="D1579" t="s">
        <v>30</v>
      </c>
      <c r="E1579" t="s">
        <v>148</v>
      </c>
      <c r="F1579" t="s">
        <v>60</v>
      </c>
      <c r="G1579" t="s">
        <v>42</v>
      </c>
      <c r="H1579" t="s">
        <v>43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t="s">
        <v>34</v>
      </c>
    </row>
    <row r="1580" spans="1:15" x14ac:dyDescent="0.35">
      <c r="A1580" t="s">
        <v>2950</v>
      </c>
      <c r="B1580" s="1">
        <v>45806</v>
      </c>
      <c r="C1580" t="s">
        <v>2951</v>
      </c>
      <c r="D1580" t="s">
        <v>17</v>
      </c>
      <c r="E1580" t="s">
        <v>31</v>
      </c>
      <c r="F1580" t="s">
        <v>19</v>
      </c>
      <c r="G1580" t="s">
        <v>42</v>
      </c>
      <c r="H1580" t="s">
        <v>371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t="s">
        <v>34</v>
      </c>
    </row>
    <row r="1581" spans="1:15" x14ac:dyDescent="0.35">
      <c r="A1581" t="s">
        <v>2952</v>
      </c>
      <c r="B1581" s="1">
        <v>45806</v>
      </c>
      <c r="C1581" t="s">
        <v>2953</v>
      </c>
      <c r="D1581" t="s">
        <v>30</v>
      </c>
      <c r="E1581" t="s">
        <v>135</v>
      </c>
      <c r="F1581" t="s">
        <v>26</v>
      </c>
      <c r="G1581" t="s">
        <v>69</v>
      </c>
      <c r="H1581" t="s">
        <v>70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t="s">
        <v>39</v>
      </c>
    </row>
    <row r="1582" spans="1:15" x14ac:dyDescent="0.35">
      <c r="A1582" t="s">
        <v>2954</v>
      </c>
      <c r="B1582" s="1">
        <v>45806</v>
      </c>
      <c r="C1582" t="s">
        <v>425</v>
      </c>
      <c r="D1582" t="s">
        <v>17</v>
      </c>
      <c r="E1582" t="s">
        <v>59</v>
      </c>
      <c r="F1582" t="s">
        <v>60</v>
      </c>
      <c r="G1582" t="s">
        <v>32</v>
      </c>
      <c r="H1582" t="s">
        <v>149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t="s">
        <v>39</v>
      </c>
    </row>
    <row r="1583" spans="1:15" x14ac:dyDescent="0.35">
      <c r="A1583" t="s">
        <v>2955</v>
      </c>
      <c r="B1583" s="1">
        <v>45806</v>
      </c>
      <c r="C1583" t="s">
        <v>1346</v>
      </c>
      <c r="D1583" t="s">
        <v>30</v>
      </c>
      <c r="E1583" t="s">
        <v>129</v>
      </c>
      <c r="F1583" t="s">
        <v>19</v>
      </c>
      <c r="G1583" t="s">
        <v>32</v>
      </c>
      <c r="H1583" t="s">
        <v>101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t="s">
        <v>34</v>
      </c>
    </row>
    <row r="1584" spans="1:15" x14ac:dyDescent="0.35">
      <c r="A1584" t="s">
        <v>2956</v>
      </c>
      <c r="B1584" s="1">
        <v>45807</v>
      </c>
      <c r="C1584" t="s">
        <v>2957</v>
      </c>
      <c r="D1584" t="s">
        <v>17</v>
      </c>
      <c r="E1584" t="s">
        <v>135</v>
      </c>
      <c r="F1584" t="s">
        <v>26</v>
      </c>
      <c r="G1584" t="s">
        <v>69</v>
      </c>
      <c r="H1584" t="s">
        <v>243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t="s">
        <v>39</v>
      </c>
    </row>
    <row r="1585" spans="1:15" x14ac:dyDescent="0.35">
      <c r="A1585" t="s">
        <v>2958</v>
      </c>
      <c r="B1585" s="1">
        <v>45807</v>
      </c>
      <c r="C1585" t="s">
        <v>2959</v>
      </c>
      <c r="D1585" t="s">
        <v>49</v>
      </c>
      <c r="E1585" t="s">
        <v>138</v>
      </c>
      <c r="F1585" t="s">
        <v>54</v>
      </c>
      <c r="G1585" t="s">
        <v>20</v>
      </c>
      <c r="H1585" t="s">
        <v>122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t="s">
        <v>22</v>
      </c>
    </row>
    <row r="1586" spans="1:15" x14ac:dyDescent="0.35">
      <c r="A1586" t="s">
        <v>2960</v>
      </c>
      <c r="B1586" s="1">
        <v>45807</v>
      </c>
      <c r="C1586" t="s">
        <v>625</v>
      </c>
      <c r="D1586" t="s">
        <v>17</v>
      </c>
      <c r="E1586" t="s">
        <v>148</v>
      </c>
      <c r="F1586" t="s">
        <v>60</v>
      </c>
      <c r="G1586" t="s">
        <v>42</v>
      </c>
      <c r="H1586" t="s">
        <v>255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t="s">
        <v>39</v>
      </c>
    </row>
    <row r="1587" spans="1:15" x14ac:dyDescent="0.35">
      <c r="A1587" t="s">
        <v>2961</v>
      </c>
      <c r="B1587" s="1">
        <v>45808</v>
      </c>
      <c r="C1587" t="s">
        <v>2962</v>
      </c>
      <c r="D1587" t="s">
        <v>30</v>
      </c>
      <c r="E1587" t="s">
        <v>248</v>
      </c>
      <c r="F1587" t="s">
        <v>26</v>
      </c>
      <c r="G1587" t="s">
        <v>20</v>
      </c>
      <c r="H1587" t="s">
        <v>122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t="s">
        <v>56</v>
      </c>
    </row>
    <row r="1588" spans="1:15" x14ac:dyDescent="0.35">
      <c r="A1588" t="s">
        <v>2963</v>
      </c>
      <c r="B1588" s="1">
        <v>45808</v>
      </c>
      <c r="C1588" t="s">
        <v>2244</v>
      </c>
      <c r="D1588" t="s">
        <v>30</v>
      </c>
      <c r="E1588" t="s">
        <v>148</v>
      </c>
      <c r="F1588" t="s">
        <v>60</v>
      </c>
      <c r="G1588" t="s">
        <v>20</v>
      </c>
      <c r="H1588" t="s">
        <v>264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t="s">
        <v>34</v>
      </c>
    </row>
    <row r="1589" spans="1:15" x14ac:dyDescent="0.35">
      <c r="A1589" t="s">
        <v>2964</v>
      </c>
      <c r="B1589" s="1">
        <v>45809</v>
      </c>
      <c r="C1589" t="s">
        <v>399</v>
      </c>
      <c r="D1589" t="s">
        <v>30</v>
      </c>
      <c r="E1589" t="s">
        <v>18</v>
      </c>
      <c r="F1589" t="s">
        <v>19</v>
      </c>
      <c r="G1589" t="s">
        <v>42</v>
      </c>
      <c r="H1589" t="s">
        <v>118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t="s">
        <v>39</v>
      </c>
    </row>
    <row r="1590" spans="1:15" x14ac:dyDescent="0.35">
      <c r="A1590" t="s">
        <v>2965</v>
      </c>
      <c r="B1590" s="1">
        <v>45809</v>
      </c>
      <c r="C1590" t="s">
        <v>2966</v>
      </c>
      <c r="D1590" t="s">
        <v>30</v>
      </c>
      <c r="E1590" t="s">
        <v>31</v>
      </c>
      <c r="F1590" t="s">
        <v>19</v>
      </c>
      <c r="G1590" t="s">
        <v>32</v>
      </c>
      <c r="H1590" t="s">
        <v>33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t="s">
        <v>39</v>
      </c>
    </row>
    <row r="1591" spans="1:15" x14ac:dyDescent="0.35">
      <c r="A1591" t="s">
        <v>2967</v>
      </c>
      <c r="B1591" s="1">
        <v>45809</v>
      </c>
      <c r="C1591" t="s">
        <v>2968</v>
      </c>
      <c r="D1591" t="s">
        <v>30</v>
      </c>
      <c r="E1591" t="s">
        <v>31</v>
      </c>
      <c r="F1591" t="s">
        <v>19</v>
      </c>
      <c r="G1591" t="s">
        <v>42</v>
      </c>
      <c r="H1591" t="s">
        <v>43</v>
      </c>
      <c r="I1591">
        <v>9</v>
      </c>
      <c r="J1591">
        <v>148.46</v>
      </c>
      <c r="K1591">
        <v>10</v>
      </c>
      <c r="L1591">
        <v>1202.53</v>
      </c>
      <c r="M1591">
        <v>26.88</v>
      </c>
      <c r="N1591">
        <v>373.97</v>
      </c>
      <c r="O1591" t="s">
        <v>22</v>
      </c>
    </row>
    <row r="1592" spans="1:15" x14ac:dyDescent="0.35">
      <c r="A1592" t="s">
        <v>2969</v>
      </c>
      <c r="B1592" s="1">
        <v>45810</v>
      </c>
      <c r="C1592" t="s">
        <v>2970</v>
      </c>
      <c r="D1592" t="s">
        <v>17</v>
      </c>
      <c r="E1592" t="s">
        <v>31</v>
      </c>
      <c r="F1592" t="s">
        <v>19</v>
      </c>
      <c r="G1592" t="s">
        <v>32</v>
      </c>
      <c r="H1592" t="s">
        <v>348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t="s">
        <v>34</v>
      </c>
    </row>
    <row r="1593" spans="1:15" x14ac:dyDescent="0.35">
      <c r="A1593" t="s">
        <v>2971</v>
      </c>
      <c r="B1593" s="1">
        <v>45811</v>
      </c>
      <c r="C1593" t="s">
        <v>2972</v>
      </c>
      <c r="D1593" t="s">
        <v>49</v>
      </c>
      <c r="E1593" t="s">
        <v>248</v>
      </c>
      <c r="F1593" t="s">
        <v>26</v>
      </c>
      <c r="G1593" t="s">
        <v>20</v>
      </c>
      <c r="H1593" t="s">
        <v>21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t="s">
        <v>56</v>
      </c>
    </row>
    <row r="1594" spans="1:15" x14ac:dyDescent="0.35">
      <c r="A1594" t="s">
        <v>2973</v>
      </c>
      <c r="B1594" s="1">
        <v>45811</v>
      </c>
      <c r="C1594" t="s">
        <v>2618</v>
      </c>
      <c r="D1594" t="s">
        <v>49</v>
      </c>
      <c r="E1594" t="s">
        <v>129</v>
      </c>
      <c r="F1594" t="s">
        <v>19</v>
      </c>
      <c r="G1594" t="s">
        <v>32</v>
      </c>
      <c r="H1594" t="s">
        <v>50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t="s">
        <v>34</v>
      </c>
    </row>
    <row r="1595" spans="1:15" x14ac:dyDescent="0.35">
      <c r="A1595" t="s">
        <v>2974</v>
      </c>
      <c r="B1595" s="1">
        <v>45811</v>
      </c>
      <c r="C1595" t="s">
        <v>1408</v>
      </c>
      <c r="D1595" t="s">
        <v>49</v>
      </c>
      <c r="E1595" t="s">
        <v>76</v>
      </c>
      <c r="F1595" t="s">
        <v>26</v>
      </c>
      <c r="G1595" t="s">
        <v>69</v>
      </c>
      <c r="H1595" t="s">
        <v>243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t="s">
        <v>22</v>
      </c>
    </row>
    <row r="1596" spans="1:15" x14ac:dyDescent="0.35">
      <c r="A1596" t="s">
        <v>2975</v>
      </c>
      <c r="B1596" s="1">
        <v>45811</v>
      </c>
      <c r="C1596" t="s">
        <v>2898</v>
      </c>
      <c r="D1596" t="s">
        <v>17</v>
      </c>
      <c r="E1596" t="s">
        <v>18</v>
      </c>
      <c r="F1596" t="s">
        <v>19</v>
      </c>
      <c r="G1596" t="s">
        <v>42</v>
      </c>
      <c r="H1596" t="s">
        <v>93</v>
      </c>
      <c r="I1596">
        <v>5</v>
      </c>
      <c r="J1596">
        <v>408.13</v>
      </c>
      <c r="K1596">
        <v>15</v>
      </c>
      <c r="L1596">
        <v>1734.55</v>
      </c>
      <c r="M1596">
        <v>8.1199999999999992</v>
      </c>
      <c r="N1596">
        <v>502.04</v>
      </c>
      <c r="O1596" t="s">
        <v>34</v>
      </c>
    </row>
    <row r="1597" spans="1:15" x14ac:dyDescent="0.35">
      <c r="A1597" t="s">
        <v>2976</v>
      </c>
      <c r="B1597" s="1">
        <v>45812</v>
      </c>
      <c r="C1597" t="s">
        <v>1837</v>
      </c>
      <c r="D1597" t="s">
        <v>30</v>
      </c>
      <c r="E1597" t="s">
        <v>138</v>
      </c>
      <c r="F1597" t="s">
        <v>54</v>
      </c>
      <c r="G1597" t="s">
        <v>69</v>
      </c>
      <c r="H1597" t="s">
        <v>70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t="s">
        <v>56</v>
      </c>
    </row>
    <row r="1598" spans="1:15" x14ac:dyDescent="0.35">
      <c r="A1598" t="s">
        <v>2977</v>
      </c>
      <c r="B1598" s="1">
        <v>45812</v>
      </c>
      <c r="C1598" t="s">
        <v>2539</v>
      </c>
      <c r="D1598" t="s">
        <v>30</v>
      </c>
      <c r="E1598" t="s">
        <v>129</v>
      </c>
      <c r="F1598" t="s">
        <v>19</v>
      </c>
      <c r="G1598" t="s">
        <v>42</v>
      </c>
      <c r="H1598" t="s">
        <v>371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t="s">
        <v>39</v>
      </c>
    </row>
    <row r="1599" spans="1:15" x14ac:dyDescent="0.35">
      <c r="A1599" t="s">
        <v>2978</v>
      </c>
      <c r="B1599" s="1">
        <v>45813</v>
      </c>
      <c r="C1599" t="s">
        <v>2979</v>
      </c>
      <c r="D1599" t="s">
        <v>30</v>
      </c>
      <c r="E1599" t="s">
        <v>166</v>
      </c>
      <c r="F1599" t="s">
        <v>60</v>
      </c>
      <c r="G1599" t="s">
        <v>42</v>
      </c>
      <c r="H1599" t="s">
        <v>294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t="s">
        <v>22</v>
      </c>
    </row>
    <row r="1600" spans="1:15" x14ac:dyDescent="0.35">
      <c r="A1600" t="s">
        <v>2980</v>
      </c>
      <c r="B1600" s="1">
        <v>45813</v>
      </c>
      <c r="C1600" t="s">
        <v>2981</v>
      </c>
      <c r="D1600" t="s">
        <v>17</v>
      </c>
      <c r="E1600" t="s">
        <v>85</v>
      </c>
      <c r="F1600" t="s">
        <v>60</v>
      </c>
      <c r="G1600" t="s">
        <v>20</v>
      </c>
      <c r="H1600" t="s">
        <v>27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t="s">
        <v>39</v>
      </c>
    </row>
    <row r="1601" spans="1:15" x14ac:dyDescent="0.35">
      <c r="A1601" t="s">
        <v>2982</v>
      </c>
      <c r="B1601" s="1">
        <v>45814</v>
      </c>
      <c r="C1601" t="s">
        <v>2160</v>
      </c>
      <c r="D1601" t="s">
        <v>30</v>
      </c>
      <c r="E1601" t="s">
        <v>148</v>
      </c>
      <c r="F1601" t="s">
        <v>60</v>
      </c>
      <c r="G1601" t="s">
        <v>20</v>
      </c>
      <c r="H1601" t="s">
        <v>21</v>
      </c>
      <c r="I1601">
        <v>10</v>
      </c>
      <c r="J1601">
        <v>177.5</v>
      </c>
      <c r="K1601">
        <v>0</v>
      </c>
      <c r="L1601">
        <v>1775</v>
      </c>
      <c r="M1601">
        <v>15.06</v>
      </c>
      <c r="N1601">
        <v>783.69</v>
      </c>
      <c r="O1601" t="s">
        <v>34</v>
      </c>
    </row>
    <row r="1602" spans="1:15" x14ac:dyDescent="0.35">
      <c r="A1602" t="s">
        <v>2983</v>
      </c>
      <c r="B1602" s="1">
        <v>45814</v>
      </c>
      <c r="C1602" t="s">
        <v>2984</v>
      </c>
      <c r="D1602" t="s">
        <v>30</v>
      </c>
      <c r="E1602" t="s">
        <v>67</v>
      </c>
      <c r="F1602" t="s">
        <v>68</v>
      </c>
      <c r="G1602" t="s">
        <v>20</v>
      </c>
      <c r="H1602" t="s">
        <v>122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t="s">
        <v>22</v>
      </c>
    </row>
    <row r="1603" spans="1:15" x14ac:dyDescent="0.35">
      <c r="A1603" t="s">
        <v>2985</v>
      </c>
      <c r="B1603" s="1">
        <v>45815</v>
      </c>
      <c r="C1603" t="s">
        <v>2986</v>
      </c>
      <c r="D1603" t="s">
        <v>17</v>
      </c>
      <c r="E1603" t="s">
        <v>59</v>
      </c>
      <c r="F1603" t="s">
        <v>60</v>
      </c>
      <c r="G1603" t="s">
        <v>32</v>
      </c>
      <c r="H1603" t="s">
        <v>33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t="s">
        <v>56</v>
      </c>
    </row>
    <row r="1604" spans="1:15" x14ac:dyDescent="0.35">
      <c r="A1604" t="s">
        <v>2987</v>
      </c>
      <c r="B1604" s="1">
        <v>45815</v>
      </c>
      <c r="C1604" t="s">
        <v>2988</v>
      </c>
      <c r="D1604" t="s">
        <v>30</v>
      </c>
      <c r="E1604" t="s">
        <v>76</v>
      </c>
      <c r="F1604" t="s">
        <v>26</v>
      </c>
      <c r="G1604" t="s">
        <v>20</v>
      </c>
      <c r="H1604" t="s">
        <v>55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t="s">
        <v>34</v>
      </c>
    </row>
    <row r="1605" spans="1:15" x14ac:dyDescent="0.35">
      <c r="A1605" t="s">
        <v>2989</v>
      </c>
      <c r="B1605" s="1">
        <v>45815</v>
      </c>
      <c r="C1605" t="s">
        <v>2990</v>
      </c>
      <c r="D1605" t="s">
        <v>17</v>
      </c>
      <c r="E1605" t="s">
        <v>31</v>
      </c>
      <c r="F1605" t="s">
        <v>19</v>
      </c>
      <c r="G1605" t="s">
        <v>32</v>
      </c>
      <c r="H1605" t="s">
        <v>73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t="s">
        <v>34</v>
      </c>
    </row>
    <row r="1606" spans="1:15" x14ac:dyDescent="0.35">
      <c r="A1606" t="s">
        <v>2991</v>
      </c>
      <c r="B1606" s="1">
        <v>45815</v>
      </c>
      <c r="C1606" t="s">
        <v>425</v>
      </c>
      <c r="D1606" t="s">
        <v>30</v>
      </c>
      <c r="E1606" t="s">
        <v>135</v>
      </c>
      <c r="F1606" t="s">
        <v>26</v>
      </c>
      <c r="G1606" t="s">
        <v>69</v>
      </c>
      <c r="H1606" t="s">
        <v>98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t="s">
        <v>39</v>
      </c>
    </row>
    <row r="1607" spans="1:15" x14ac:dyDescent="0.35">
      <c r="A1607" t="s">
        <v>2992</v>
      </c>
      <c r="B1607" s="1">
        <v>45816</v>
      </c>
      <c r="C1607" t="s">
        <v>1233</v>
      </c>
      <c r="D1607" t="s">
        <v>49</v>
      </c>
      <c r="E1607" t="s">
        <v>76</v>
      </c>
      <c r="F1607" t="s">
        <v>26</v>
      </c>
      <c r="G1607" t="s">
        <v>32</v>
      </c>
      <c r="H1607" t="s">
        <v>33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t="s">
        <v>34</v>
      </c>
    </row>
    <row r="1608" spans="1:15" x14ac:dyDescent="0.35">
      <c r="A1608" t="s">
        <v>2993</v>
      </c>
      <c r="B1608" s="1">
        <v>45816</v>
      </c>
      <c r="C1608" t="s">
        <v>2994</v>
      </c>
      <c r="D1608" t="s">
        <v>30</v>
      </c>
      <c r="E1608" t="s">
        <v>138</v>
      </c>
      <c r="F1608" t="s">
        <v>54</v>
      </c>
      <c r="G1608" t="s">
        <v>69</v>
      </c>
      <c r="H1608" t="s">
        <v>243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t="s">
        <v>34</v>
      </c>
    </row>
    <row r="1609" spans="1:15" x14ac:dyDescent="0.35">
      <c r="A1609" t="s">
        <v>2995</v>
      </c>
      <c r="B1609" s="1">
        <v>45818</v>
      </c>
      <c r="C1609" t="s">
        <v>421</v>
      </c>
      <c r="D1609" t="s">
        <v>17</v>
      </c>
      <c r="E1609" t="s">
        <v>63</v>
      </c>
      <c r="F1609" t="s">
        <v>54</v>
      </c>
      <c r="G1609" t="s">
        <v>32</v>
      </c>
      <c r="H1609" t="s">
        <v>149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t="s">
        <v>34</v>
      </c>
    </row>
    <row r="1610" spans="1:15" x14ac:dyDescent="0.35">
      <c r="A1610" t="s">
        <v>2996</v>
      </c>
      <c r="B1610" s="1">
        <v>45818</v>
      </c>
      <c r="C1610" t="s">
        <v>2997</v>
      </c>
      <c r="D1610" t="s">
        <v>30</v>
      </c>
      <c r="E1610" t="s">
        <v>37</v>
      </c>
      <c r="F1610" t="s">
        <v>26</v>
      </c>
      <c r="G1610" t="s">
        <v>42</v>
      </c>
      <c r="H1610" t="s">
        <v>46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t="s">
        <v>56</v>
      </c>
    </row>
    <row r="1611" spans="1:15" x14ac:dyDescent="0.35">
      <c r="A1611" t="s">
        <v>2998</v>
      </c>
      <c r="B1611" s="1">
        <v>45818</v>
      </c>
      <c r="C1611" t="s">
        <v>1302</v>
      </c>
      <c r="D1611" t="s">
        <v>30</v>
      </c>
      <c r="E1611" t="s">
        <v>129</v>
      </c>
      <c r="F1611" t="s">
        <v>19</v>
      </c>
      <c r="G1611" t="s">
        <v>42</v>
      </c>
      <c r="H1611" t="s">
        <v>118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t="s">
        <v>39</v>
      </c>
    </row>
    <row r="1612" spans="1:15" x14ac:dyDescent="0.35">
      <c r="A1612" t="s">
        <v>2999</v>
      </c>
      <c r="B1612" s="1">
        <v>45819</v>
      </c>
      <c r="C1612" t="s">
        <v>3000</v>
      </c>
      <c r="D1612" t="s">
        <v>17</v>
      </c>
      <c r="E1612" t="s">
        <v>18</v>
      </c>
      <c r="F1612" t="s">
        <v>19</v>
      </c>
      <c r="G1612" t="s">
        <v>20</v>
      </c>
      <c r="H1612" t="s">
        <v>122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t="s">
        <v>39</v>
      </c>
    </row>
    <row r="1613" spans="1:15" x14ac:dyDescent="0.35">
      <c r="A1613" t="s">
        <v>3001</v>
      </c>
      <c r="B1613" s="1">
        <v>45820</v>
      </c>
      <c r="C1613" t="s">
        <v>3002</v>
      </c>
      <c r="D1613" t="s">
        <v>17</v>
      </c>
      <c r="E1613" t="s">
        <v>135</v>
      </c>
      <c r="F1613" t="s">
        <v>26</v>
      </c>
      <c r="G1613" t="s">
        <v>42</v>
      </c>
      <c r="H1613" t="s">
        <v>46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t="s">
        <v>22</v>
      </c>
    </row>
    <row r="1614" spans="1:15" x14ac:dyDescent="0.35">
      <c r="A1614" t="s">
        <v>3003</v>
      </c>
      <c r="B1614" s="1">
        <v>45822</v>
      </c>
      <c r="C1614" t="s">
        <v>1573</v>
      </c>
      <c r="D1614" t="s">
        <v>49</v>
      </c>
      <c r="E1614" t="s">
        <v>92</v>
      </c>
      <c r="F1614" t="s">
        <v>60</v>
      </c>
      <c r="G1614" t="s">
        <v>42</v>
      </c>
      <c r="H1614" t="s">
        <v>43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t="s">
        <v>34</v>
      </c>
    </row>
    <row r="1615" spans="1:15" x14ac:dyDescent="0.35">
      <c r="A1615" t="s">
        <v>3004</v>
      </c>
      <c r="B1615" s="1">
        <v>45822</v>
      </c>
      <c r="C1615" t="s">
        <v>3005</v>
      </c>
      <c r="D1615" t="s">
        <v>17</v>
      </c>
      <c r="E1615" t="s">
        <v>169</v>
      </c>
      <c r="F1615" t="s">
        <v>68</v>
      </c>
      <c r="G1615" t="s">
        <v>20</v>
      </c>
      <c r="H1615" t="s">
        <v>27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t="s">
        <v>34</v>
      </c>
    </row>
    <row r="1616" spans="1:15" x14ac:dyDescent="0.35">
      <c r="A1616" t="s">
        <v>3006</v>
      </c>
      <c r="B1616" s="1">
        <v>45822</v>
      </c>
      <c r="C1616" t="s">
        <v>3007</v>
      </c>
      <c r="D1616" t="s">
        <v>17</v>
      </c>
      <c r="E1616" t="s">
        <v>129</v>
      </c>
      <c r="F1616" t="s">
        <v>19</v>
      </c>
      <c r="G1616" t="s">
        <v>42</v>
      </c>
      <c r="H1616" t="s">
        <v>118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t="s">
        <v>56</v>
      </c>
    </row>
    <row r="1617" spans="1:15" x14ac:dyDescent="0.35">
      <c r="A1617" t="s">
        <v>3008</v>
      </c>
      <c r="B1617" s="1">
        <v>45824</v>
      </c>
      <c r="C1617" t="s">
        <v>1072</v>
      </c>
      <c r="D1617" t="s">
        <v>49</v>
      </c>
      <c r="E1617" t="s">
        <v>18</v>
      </c>
      <c r="F1617" t="s">
        <v>19</v>
      </c>
      <c r="G1617" t="s">
        <v>32</v>
      </c>
      <c r="H1617" t="s">
        <v>110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t="s">
        <v>56</v>
      </c>
    </row>
    <row r="1618" spans="1:15" x14ac:dyDescent="0.35">
      <c r="A1618" t="s">
        <v>3009</v>
      </c>
      <c r="B1618" s="1">
        <v>45824</v>
      </c>
      <c r="C1618" t="s">
        <v>3010</v>
      </c>
      <c r="D1618" t="s">
        <v>17</v>
      </c>
      <c r="E1618" t="s">
        <v>85</v>
      </c>
      <c r="F1618" t="s">
        <v>60</v>
      </c>
      <c r="G1618" t="s">
        <v>20</v>
      </c>
      <c r="H1618" t="s">
        <v>264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t="s">
        <v>39</v>
      </c>
    </row>
    <row r="1619" spans="1:15" x14ac:dyDescent="0.35">
      <c r="A1619" t="s">
        <v>3011</v>
      </c>
      <c r="B1619" s="1">
        <v>45825</v>
      </c>
      <c r="C1619" t="s">
        <v>3012</v>
      </c>
      <c r="D1619" t="s">
        <v>17</v>
      </c>
      <c r="E1619" t="s">
        <v>59</v>
      </c>
      <c r="F1619" t="s">
        <v>60</v>
      </c>
      <c r="G1619" t="s">
        <v>42</v>
      </c>
      <c r="H1619" t="s">
        <v>118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t="s">
        <v>56</v>
      </c>
    </row>
    <row r="1620" spans="1:15" x14ac:dyDescent="0.35">
      <c r="A1620" t="s">
        <v>3013</v>
      </c>
      <c r="B1620" s="1">
        <v>45826</v>
      </c>
      <c r="C1620" t="s">
        <v>1326</v>
      </c>
      <c r="D1620" t="s">
        <v>49</v>
      </c>
      <c r="E1620" t="s">
        <v>138</v>
      </c>
      <c r="F1620" t="s">
        <v>54</v>
      </c>
      <c r="G1620" t="s">
        <v>69</v>
      </c>
      <c r="H1620" t="s">
        <v>79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t="s">
        <v>56</v>
      </c>
    </row>
    <row r="1621" spans="1:15" x14ac:dyDescent="0.35">
      <c r="A1621" t="s">
        <v>3014</v>
      </c>
      <c r="B1621" s="1">
        <v>45826</v>
      </c>
      <c r="C1621" t="s">
        <v>868</v>
      </c>
      <c r="D1621" t="s">
        <v>30</v>
      </c>
      <c r="E1621" t="s">
        <v>76</v>
      </c>
      <c r="F1621" t="s">
        <v>26</v>
      </c>
      <c r="G1621" t="s">
        <v>69</v>
      </c>
      <c r="H1621" t="s">
        <v>70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t="s">
        <v>34</v>
      </c>
    </row>
    <row r="1622" spans="1:15" x14ac:dyDescent="0.35">
      <c r="A1622" t="s">
        <v>3015</v>
      </c>
      <c r="B1622" s="1">
        <v>45826</v>
      </c>
      <c r="C1622" t="s">
        <v>3016</v>
      </c>
      <c r="D1622" t="s">
        <v>17</v>
      </c>
      <c r="E1622" t="s">
        <v>76</v>
      </c>
      <c r="F1622" t="s">
        <v>26</v>
      </c>
      <c r="G1622" t="s">
        <v>32</v>
      </c>
      <c r="H1622" t="s">
        <v>82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t="s">
        <v>34</v>
      </c>
    </row>
    <row r="1623" spans="1:15" x14ac:dyDescent="0.35">
      <c r="A1623" t="s">
        <v>3017</v>
      </c>
      <c r="B1623" s="1">
        <v>45826</v>
      </c>
      <c r="C1623" t="s">
        <v>3018</v>
      </c>
      <c r="D1623" t="s">
        <v>17</v>
      </c>
      <c r="E1623" t="s">
        <v>129</v>
      </c>
      <c r="F1623" t="s">
        <v>19</v>
      </c>
      <c r="G1623" t="s">
        <v>42</v>
      </c>
      <c r="H1623" t="s">
        <v>93</v>
      </c>
      <c r="I1623">
        <v>7</v>
      </c>
      <c r="J1623">
        <v>422.4</v>
      </c>
      <c r="K1623">
        <v>30</v>
      </c>
      <c r="L1623">
        <v>2069.7600000000002</v>
      </c>
      <c r="M1623">
        <v>15.51</v>
      </c>
      <c r="N1623">
        <v>280.17</v>
      </c>
      <c r="O1623" t="s">
        <v>39</v>
      </c>
    </row>
    <row r="1624" spans="1:15" x14ac:dyDescent="0.35">
      <c r="A1624" t="s">
        <v>3019</v>
      </c>
      <c r="B1624" s="1">
        <v>45827</v>
      </c>
      <c r="C1624" t="s">
        <v>3020</v>
      </c>
      <c r="D1624" t="s">
        <v>49</v>
      </c>
      <c r="E1624" t="s">
        <v>31</v>
      </c>
      <c r="F1624" t="s">
        <v>19</v>
      </c>
      <c r="G1624" t="s">
        <v>42</v>
      </c>
      <c r="H1624" t="s">
        <v>89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t="s">
        <v>34</v>
      </c>
    </row>
    <row r="1625" spans="1:15" x14ac:dyDescent="0.35">
      <c r="A1625" t="s">
        <v>3021</v>
      </c>
      <c r="B1625" s="1">
        <v>45828</v>
      </c>
      <c r="C1625" t="s">
        <v>3022</v>
      </c>
      <c r="D1625" t="s">
        <v>49</v>
      </c>
      <c r="E1625" t="s">
        <v>59</v>
      </c>
      <c r="F1625" t="s">
        <v>60</v>
      </c>
      <c r="G1625" t="s">
        <v>20</v>
      </c>
      <c r="H1625" t="s">
        <v>170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t="s">
        <v>39</v>
      </c>
    </row>
    <row r="1626" spans="1:15" x14ac:dyDescent="0.35">
      <c r="A1626" t="s">
        <v>3023</v>
      </c>
      <c r="B1626" s="1">
        <v>45828</v>
      </c>
      <c r="C1626" t="s">
        <v>3024</v>
      </c>
      <c r="D1626" t="s">
        <v>30</v>
      </c>
      <c r="E1626" t="s">
        <v>37</v>
      </c>
      <c r="F1626" t="s">
        <v>26</v>
      </c>
      <c r="G1626" t="s">
        <v>32</v>
      </c>
      <c r="H1626" t="s">
        <v>348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t="s">
        <v>39</v>
      </c>
    </row>
    <row r="1627" spans="1:15" x14ac:dyDescent="0.35">
      <c r="A1627" t="s">
        <v>3025</v>
      </c>
      <c r="B1627" s="1">
        <v>45828</v>
      </c>
      <c r="C1627" t="s">
        <v>3007</v>
      </c>
      <c r="D1627" t="s">
        <v>49</v>
      </c>
      <c r="E1627" t="s">
        <v>25</v>
      </c>
      <c r="F1627" t="s">
        <v>26</v>
      </c>
      <c r="G1627" t="s">
        <v>42</v>
      </c>
      <c r="H1627" t="s">
        <v>118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t="s">
        <v>34</v>
      </c>
    </row>
    <row r="1628" spans="1:15" x14ac:dyDescent="0.35">
      <c r="A1628" t="s">
        <v>3026</v>
      </c>
      <c r="B1628" s="1">
        <v>45829</v>
      </c>
      <c r="C1628" t="s">
        <v>3027</v>
      </c>
      <c r="D1628" t="s">
        <v>30</v>
      </c>
      <c r="E1628" t="s">
        <v>59</v>
      </c>
      <c r="F1628" t="s">
        <v>60</v>
      </c>
      <c r="G1628" t="s">
        <v>42</v>
      </c>
      <c r="H1628" t="s">
        <v>64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t="s">
        <v>34</v>
      </c>
    </row>
    <row r="1629" spans="1:15" x14ac:dyDescent="0.35">
      <c r="A1629" t="s">
        <v>3028</v>
      </c>
      <c r="B1629" s="1">
        <v>45830</v>
      </c>
      <c r="C1629" t="s">
        <v>2043</v>
      </c>
      <c r="D1629" t="s">
        <v>49</v>
      </c>
      <c r="E1629" t="s">
        <v>31</v>
      </c>
      <c r="F1629" t="s">
        <v>19</v>
      </c>
      <c r="G1629" t="s">
        <v>42</v>
      </c>
      <c r="H1629" t="s">
        <v>294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t="s">
        <v>22</v>
      </c>
    </row>
    <row r="1630" spans="1:15" x14ac:dyDescent="0.35">
      <c r="A1630" t="s">
        <v>3029</v>
      </c>
      <c r="B1630" s="1">
        <v>45830</v>
      </c>
      <c r="C1630" t="s">
        <v>3030</v>
      </c>
      <c r="D1630" t="s">
        <v>17</v>
      </c>
      <c r="E1630" t="s">
        <v>76</v>
      </c>
      <c r="F1630" t="s">
        <v>26</v>
      </c>
      <c r="G1630" t="s">
        <v>20</v>
      </c>
      <c r="H1630" t="s">
        <v>55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t="s">
        <v>34</v>
      </c>
    </row>
    <row r="1631" spans="1:15" x14ac:dyDescent="0.35">
      <c r="A1631" t="s">
        <v>3031</v>
      </c>
      <c r="B1631" s="1">
        <v>45830</v>
      </c>
      <c r="C1631" t="s">
        <v>3032</v>
      </c>
      <c r="D1631" t="s">
        <v>17</v>
      </c>
      <c r="E1631" t="s">
        <v>166</v>
      </c>
      <c r="F1631" t="s">
        <v>60</v>
      </c>
      <c r="G1631" t="s">
        <v>32</v>
      </c>
      <c r="H1631" t="s">
        <v>115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t="s">
        <v>34</v>
      </c>
    </row>
    <row r="1632" spans="1:15" x14ac:dyDescent="0.35">
      <c r="A1632" t="s">
        <v>3033</v>
      </c>
      <c r="B1632" s="1">
        <v>45831</v>
      </c>
      <c r="C1632" t="s">
        <v>3034</v>
      </c>
      <c r="D1632" t="s">
        <v>17</v>
      </c>
      <c r="E1632" t="s">
        <v>92</v>
      </c>
      <c r="F1632" t="s">
        <v>60</v>
      </c>
      <c r="G1632" t="s">
        <v>42</v>
      </c>
      <c r="H1632" t="s">
        <v>371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t="s">
        <v>39</v>
      </c>
    </row>
    <row r="1633" spans="1:15" x14ac:dyDescent="0.35">
      <c r="A1633" t="s">
        <v>3035</v>
      </c>
      <c r="B1633" s="1">
        <v>45831</v>
      </c>
      <c r="C1633" t="s">
        <v>3036</v>
      </c>
      <c r="D1633" t="s">
        <v>30</v>
      </c>
      <c r="E1633" t="s">
        <v>25</v>
      </c>
      <c r="F1633" t="s">
        <v>26</v>
      </c>
      <c r="G1633" t="s">
        <v>20</v>
      </c>
      <c r="H1633" t="s">
        <v>264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t="s">
        <v>39</v>
      </c>
    </row>
    <row r="1634" spans="1:15" x14ac:dyDescent="0.35">
      <c r="A1634" t="s">
        <v>3037</v>
      </c>
      <c r="B1634" s="1">
        <v>45831</v>
      </c>
      <c r="C1634" t="s">
        <v>3038</v>
      </c>
      <c r="D1634" t="s">
        <v>30</v>
      </c>
      <c r="E1634" t="s">
        <v>248</v>
      </c>
      <c r="F1634" t="s">
        <v>26</v>
      </c>
      <c r="G1634" t="s">
        <v>42</v>
      </c>
      <c r="H1634" t="s">
        <v>46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t="s">
        <v>34</v>
      </c>
    </row>
    <row r="1635" spans="1:15" x14ac:dyDescent="0.35">
      <c r="A1635" t="s">
        <v>3039</v>
      </c>
      <c r="B1635" s="1">
        <v>45832</v>
      </c>
      <c r="C1635" t="s">
        <v>3040</v>
      </c>
      <c r="D1635" t="s">
        <v>30</v>
      </c>
      <c r="E1635" t="s">
        <v>148</v>
      </c>
      <c r="F1635" t="s">
        <v>60</v>
      </c>
      <c r="G1635" t="s">
        <v>32</v>
      </c>
      <c r="H1635" t="s">
        <v>33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t="s">
        <v>34</v>
      </c>
    </row>
    <row r="1636" spans="1:15" x14ac:dyDescent="0.35">
      <c r="A1636" t="s">
        <v>3041</v>
      </c>
      <c r="B1636" s="1">
        <v>45832</v>
      </c>
      <c r="C1636" t="s">
        <v>3042</v>
      </c>
      <c r="D1636" t="s">
        <v>17</v>
      </c>
      <c r="E1636" t="s">
        <v>63</v>
      </c>
      <c r="F1636" t="s">
        <v>54</v>
      </c>
      <c r="G1636" t="s">
        <v>32</v>
      </c>
      <c r="H1636" t="s">
        <v>82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t="s">
        <v>34</v>
      </c>
    </row>
    <row r="1637" spans="1:15" x14ac:dyDescent="0.35">
      <c r="A1637" t="s">
        <v>3043</v>
      </c>
      <c r="B1637" s="1">
        <v>45832</v>
      </c>
      <c r="C1637" t="s">
        <v>3044</v>
      </c>
      <c r="D1637" t="s">
        <v>49</v>
      </c>
      <c r="E1637" t="s">
        <v>135</v>
      </c>
      <c r="F1637" t="s">
        <v>26</v>
      </c>
      <c r="G1637" t="s">
        <v>32</v>
      </c>
      <c r="H1637" t="s">
        <v>149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t="s">
        <v>34</v>
      </c>
    </row>
    <row r="1638" spans="1:15" x14ac:dyDescent="0.35">
      <c r="A1638" t="s">
        <v>3045</v>
      </c>
      <c r="B1638" s="1">
        <v>45832</v>
      </c>
      <c r="C1638" t="s">
        <v>3046</v>
      </c>
      <c r="D1638" t="s">
        <v>49</v>
      </c>
      <c r="E1638" t="s">
        <v>18</v>
      </c>
      <c r="F1638" t="s">
        <v>19</v>
      </c>
      <c r="G1638" t="s">
        <v>69</v>
      </c>
      <c r="H1638" t="s">
        <v>305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t="s">
        <v>39</v>
      </c>
    </row>
    <row r="1639" spans="1:15" x14ac:dyDescent="0.35">
      <c r="A1639" t="s">
        <v>3047</v>
      </c>
      <c r="B1639" s="1">
        <v>45832</v>
      </c>
      <c r="C1639" t="s">
        <v>1335</v>
      </c>
      <c r="D1639" t="s">
        <v>17</v>
      </c>
      <c r="E1639" t="s">
        <v>76</v>
      </c>
      <c r="F1639" t="s">
        <v>26</v>
      </c>
      <c r="G1639" t="s">
        <v>32</v>
      </c>
      <c r="H1639" t="s">
        <v>101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t="s">
        <v>22</v>
      </c>
    </row>
    <row r="1640" spans="1:15" x14ac:dyDescent="0.35">
      <c r="A1640" t="s">
        <v>3048</v>
      </c>
      <c r="B1640" s="1">
        <v>45833</v>
      </c>
      <c r="C1640" t="s">
        <v>2203</v>
      </c>
      <c r="D1640" t="s">
        <v>17</v>
      </c>
      <c r="E1640" t="s">
        <v>135</v>
      </c>
      <c r="F1640" t="s">
        <v>26</v>
      </c>
      <c r="G1640" t="s">
        <v>42</v>
      </c>
      <c r="H1640" t="s">
        <v>294</v>
      </c>
      <c r="I1640">
        <v>8</v>
      </c>
      <c r="J1640">
        <v>284.77999999999997</v>
      </c>
      <c r="K1640">
        <v>5</v>
      </c>
      <c r="L1640">
        <v>2164.33</v>
      </c>
      <c r="M1640">
        <v>25.98</v>
      </c>
      <c r="N1640">
        <v>771.41</v>
      </c>
      <c r="O1640" t="s">
        <v>56</v>
      </c>
    </row>
    <row r="1641" spans="1:15" x14ac:dyDescent="0.35">
      <c r="A1641" t="s">
        <v>3049</v>
      </c>
      <c r="B1641" s="1">
        <v>45833</v>
      </c>
      <c r="C1641" t="s">
        <v>1030</v>
      </c>
      <c r="D1641" t="s">
        <v>17</v>
      </c>
      <c r="E1641" t="s">
        <v>85</v>
      </c>
      <c r="F1641" t="s">
        <v>60</v>
      </c>
      <c r="G1641" t="s">
        <v>20</v>
      </c>
      <c r="H1641" t="s">
        <v>21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t="s">
        <v>39</v>
      </c>
    </row>
    <row r="1642" spans="1:15" x14ac:dyDescent="0.35">
      <c r="A1642" t="s">
        <v>3050</v>
      </c>
      <c r="B1642" s="1">
        <v>45833</v>
      </c>
      <c r="C1642" t="s">
        <v>2609</v>
      </c>
      <c r="D1642" t="s">
        <v>30</v>
      </c>
      <c r="E1642" t="s">
        <v>31</v>
      </c>
      <c r="F1642" t="s">
        <v>19</v>
      </c>
      <c r="G1642" t="s">
        <v>20</v>
      </c>
      <c r="H1642" t="s">
        <v>175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t="s">
        <v>34</v>
      </c>
    </row>
    <row r="1643" spans="1:15" x14ac:dyDescent="0.35">
      <c r="A1643" t="s">
        <v>3051</v>
      </c>
      <c r="B1643" s="1">
        <v>45833</v>
      </c>
      <c r="C1643" t="s">
        <v>1624</v>
      </c>
      <c r="D1643" t="s">
        <v>30</v>
      </c>
      <c r="E1643" t="s">
        <v>37</v>
      </c>
      <c r="F1643" t="s">
        <v>26</v>
      </c>
      <c r="G1643" t="s">
        <v>32</v>
      </c>
      <c r="H1643" t="s">
        <v>101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t="s">
        <v>22</v>
      </c>
    </row>
    <row r="1644" spans="1:15" x14ac:dyDescent="0.35">
      <c r="A1644" t="s">
        <v>3052</v>
      </c>
      <c r="B1644" s="1">
        <v>45833</v>
      </c>
      <c r="C1644" t="s">
        <v>3053</v>
      </c>
      <c r="D1644" t="s">
        <v>30</v>
      </c>
      <c r="E1644" t="s">
        <v>109</v>
      </c>
      <c r="F1644" t="s">
        <v>54</v>
      </c>
      <c r="G1644" t="s">
        <v>20</v>
      </c>
      <c r="H1644" t="s">
        <v>264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t="s">
        <v>34</v>
      </c>
    </row>
    <row r="1645" spans="1:15" x14ac:dyDescent="0.35">
      <c r="A1645" t="s">
        <v>3054</v>
      </c>
      <c r="B1645" s="1">
        <v>45833</v>
      </c>
      <c r="C1645" t="s">
        <v>3055</v>
      </c>
      <c r="D1645" t="s">
        <v>30</v>
      </c>
      <c r="E1645" t="s">
        <v>85</v>
      </c>
      <c r="F1645" t="s">
        <v>60</v>
      </c>
      <c r="G1645" t="s">
        <v>69</v>
      </c>
      <c r="H1645" t="s">
        <v>243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t="s">
        <v>34</v>
      </c>
    </row>
    <row r="1646" spans="1:15" x14ac:dyDescent="0.35">
      <c r="A1646" t="s">
        <v>3056</v>
      </c>
      <c r="B1646" s="1">
        <v>45835</v>
      </c>
      <c r="C1646" t="s">
        <v>2342</v>
      </c>
      <c r="D1646" t="s">
        <v>49</v>
      </c>
      <c r="E1646" t="s">
        <v>31</v>
      </c>
      <c r="F1646" t="s">
        <v>19</v>
      </c>
      <c r="G1646" t="s">
        <v>69</v>
      </c>
      <c r="H1646" t="s">
        <v>163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t="s">
        <v>39</v>
      </c>
    </row>
    <row r="1647" spans="1:15" x14ac:dyDescent="0.35">
      <c r="A1647" t="s">
        <v>3057</v>
      </c>
      <c r="B1647" s="1">
        <v>45835</v>
      </c>
      <c r="C1647" t="s">
        <v>1618</v>
      </c>
      <c r="D1647" t="s">
        <v>30</v>
      </c>
      <c r="E1647" t="s">
        <v>31</v>
      </c>
      <c r="F1647" t="s">
        <v>19</v>
      </c>
      <c r="G1647" t="s">
        <v>20</v>
      </c>
      <c r="H1647" t="s">
        <v>55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t="s">
        <v>39</v>
      </c>
    </row>
    <row r="1648" spans="1:15" x14ac:dyDescent="0.35">
      <c r="A1648" t="s">
        <v>3058</v>
      </c>
      <c r="B1648" s="1">
        <v>45835</v>
      </c>
      <c r="C1648" t="s">
        <v>879</v>
      </c>
      <c r="D1648" t="s">
        <v>17</v>
      </c>
      <c r="E1648" t="s">
        <v>25</v>
      </c>
      <c r="F1648" t="s">
        <v>26</v>
      </c>
      <c r="G1648" t="s">
        <v>69</v>
      </c>
      <c r="H1648" t="s">
        <v>243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t="s">
        <v>34</v>
      </c>
    </row>
    <row r="1649" spans="1:15" x14ac:dyDescent="0.35">
      <c r="A1649" t="s">
        <v>3059</v>
      </c>
      <c r="B1649" s="1">
        <v>45836</v>
      </c>
      <c r="C1649" t="s">
        <v>327</v>
      </c>
      <c r="D1649" t="s">
        <v>17</v>
      </c>
      <c r="E1649" t="s">
        <v>138</v>
      </c>
      <c r="F1649" t="s">
        <v>54</v>
      </c>
      <c r="G1649" t="s">
        <v>20</v>
      </c>
      <c r="H1649" t="s">
        <v>264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t="s">
        <v>22</v>
      </c>
    </row>
    <row r="1650" spans="1:15" x14ac:dyDescent="0.35">
      <c r="A1650" t="s">
        <v>3060</v>
      </c>
      <c r="B1650" s="1">
        <v>45836</v>
      </c>
      <c r="C1650" t="s">
        <v>3061</v>
      </c>
      <c r="D1650" t="s">
        <v>30</v>
      </c>
      <c r="E1650" t="s">
        <v>59</v>
      </c>
      <c r="F1650" t="s">
        <v>60</v>
      </c>
      <c r="G1650" t="s">
        <v>20</v>
      </c>
      <c r="H1650" t="s">
        <v>55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t="s">
        <v>39</v>
      </c>
    </row>
    <row r="1651" spans="1:15" x14ac:dyDescent="0.35">
      <c r="A1651" t="s">
        <v>3062</v>
      </c>
      <c r="B1651" s="1">
        <v>45838</v>
      </c>
      <c r="C1651" t="s">
        <v>3063</v>
      </c>
      <c r="D1651" t="s">
        <v>17</v>
      </c>
      <c r="E1651" t="s">
        <v>18</v>
      </c>
      <c r="F1651" t="s">
        <v>19</v>
      </c>
      <c r="G1651" t="s">
        <v>32</v>
      </c>
      <c r="H1651" t="s">
        <v>33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t="s">
        <v>39</v>
      </c>
    </row>
    <row r="1652" spans="1:15" x14ac:dyDescent="0.35">
      <c r="A1652" t="s">
        <v>3064</v>
      </c>
      <c r="B1652" s="1">
        <v>45838</v>
      </c>
      <c r="C1652" t="s">
        <v>3065</v>
      </c>
      <c r="D1652" t="s">
        <v>30</v>
      </c>
      <c r="E1652" t="s">
        <v>31</v>
      </c>
      <c r="F1652" t="s">
        <v>19</v>
      </c>
      <c r="G1652" t="s">
        <v>42</v>
      </c>
      <c r="H1652" t="s">
        <v>255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t="s">
        <v>22</v>
      </c>
    </row>
    <row r="1653" spans="1:15" x14ac:dyDescent="0.35">
      <c r="A1653" t="s">
        <v>3066</v>
      </c>
      <c r="B1653" s="1">
        <v>45840</v>
      </c>
      <c r="C1653" t="s">
        <v>3067</v>
      </c>
      <c r="D1653" t="s">
        <v>30</v>
      </c>
      <c r="E1653" t="s">
        <v>59</v>
      </c>
      <c r="F1653" t="s">
        <v>60</v>
      </c>
      <c r="G1653" t="s">
        <v>42</v>
      </c>
      <c r="H1653" t="s">
        <v>255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t="s">
        <v>22</v>
      </c>
    </row>
    <row r="1654" spans="1:15" x14ac:dyDescent="0.35">
      <c r="A1654" t="s">
        <v>3068</v>
      </c>
      <c r="B1654" s="1">
        <v>45841</v>
      </c>
      <c r="C1654" t="s">
        <v>2571</v>
      </c>
      <c r="D1654" t="s">
        <v>30</v>
      </c>
      <c r="E1654" t="s">
        <v>18</v>
      </c>
      <c r="F1654" t="s">
        <v>19</v>
      </c>
      <c r="G1654" t="s">
        <v>32</v>
      </c>
      <c r="H1654" t="s">
        <v>50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t="s">
        <v>56</v>
      </c>
    </row>
    <row r="1655" spans="1:15" x14ac:dyDescent="0.35">
      <c r="A1655" t="s">
        <v>3069</v>
      </c>
      <c r="B1655" s="1">
        <v>45841</v>
      </c>
      <c r="C1655" t="s">
        <v>3070</v>
      </c>
      <c r="D1655" t="s">
        <v>17</v>
      </c>
      <c r="E1655" t="s">
        <v>76</v>
      </c>
      <c r="F1655" t="s">
        <v>26</v>
      </c>
      <c r="G1655" t="s">
        <v>32</v>
      </c>
      <c r="H1655" t="s">
        <v>149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t="s">
        <v>39</v>
      </c>
    </row>
    <row r="1656" spans="1:15" x14ac:dyDescent="0.35">
      <c r="A1656" t="s">
        <v>3071</v>
      </c>
      <c r="B1656" s="1">
        <v>45841</v>
      </c>
      <c r="C1656" t="s">
        <v>1612</v>
      </c>
      <c r="D1656" t="s">
        <v>30</v>
      </c>
      <c r="E1656" t="s">
        <v>76</v>
      </c>
      <c r="F1656" t="s">
        <v>26</v>
      </c>
      <c r="G1656" t="s">
        <v>42</v>
      </c>
      <c r="H1656" t="s">
        <v>64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t="s">
        <v>22</v>
      </c>
    </row>
    <row r="1657" spans="1:15" x14ac:dyDescent="0.35">
      <c r="A1657" t="s">
        <v>3072</v>
      </c>
      <c r="B1657" s="1">
        <v>45842</v>
      </c>
      <c r="C1657" t="s">
        <v>1465</v>
      </c>
      <c r="D1657" t="s">
        <v>17</v>
      </c>
      <c r="E1657" t="s">
        <v>18</v>
      </c>
      <c r="F1657" t="s">
        <v>19</v>
      </c>
      <c r="G1657" t="s">
        <v>42</v>
      </c>
      <c r="H1657" t="s">
        <v>64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t="s">
        <v>34</v>
      </c>
    </row>
    <row r="1658" spans="1:15" x14ac:dyDescent="0.35">
      <c r="A1658" t="s">
        <v>3073</v>
      </c>
      <c r="B1658" s="1">
        <v>45844</v>
      </c>
      <c r="C1658" t="s">
        <v>1736</v>
      </c>
      <c r="D1658" t="s">
        <v>49</v>
      </c>
      <c r="E1658" t="s">
        <v>129</v>
      </c>
      <c r="F1658" t="s">
        <v>19</v>
      </c>
      <c r="G1658" t="s">
        <v>20</v>
      </c>
      <c r="H1658" t="s">
        <v>264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t="s">
        <v>34</v>
      </c>
    </row>
    <row r="1659" spans="1:15" x14ac:dyDescent="0.35">
      <c r="A1659" t="s">
        <v>3074</v>
      </c>
      <c r="B1659" s="1">
        <v>45844</v>
      </c>
      <c r="C1659" t="s">
        <v>3075</v>
      </c>
      <c r="D1659" t="s">
        <v>49</v>
      </c>
      <c r="E1659" t="s">
        <v>37</v>
      </c>
      <c r="F1659" t="s">
        <v>26</v>
      </c>
      <c r="G1659" t="s">
        <v>69</v>
      </c>
      <c r="H1659" t="s">
        <v>196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t="s">
        <v>39</v>
      </c>
    </row>
    <row r="1660" spans="1:15" x14ac:dyDescent="0.35">
      <c r="A1660" t="s">
        <v>3076</v>
      </c>
      <c r="B1660" s="1">
        <v>45844</v>
      </c>
      <c r="C1660" t="s">
        <v>1322</v>
      </c>
      <c r="D1660" t="s">
        <v>30</v>
      </c>
      <c r="E1660" t="s">
        <v>166</v>
      </c>
      <c r="F1660" t="s">
        <v>60</v>
      </c>
      <c r="G1660" t="s">
        <v>20</v>
      </c>
      <c r="H1660" t="s">
        <v>175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t="s">
        <v>39</v>
      </c>
    </row>
    <row r="1661" spans="1:15" x14ac:dyDescent="0.35">
      <c r="A1661" t="s">
        <v>3077</v>
      </c>
      <c r="B1661" s="1">
        <v>45844</v>
      </c>
      <c r="C1661" t="s">
        <v>3078</v>
      </c>
      <c r="D1661" t="s">
        <v>30</v>
      </c>
      <c r="E1661" t="s">
        <v>138</v>
      </c>
      <c r="F1661" t="s">
        <v>54</v>
      </c>
      <c r="G1661" t="s">
        <v>42</v>
      </c>
      <c r="H1661" t="s">
        <v>118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t="s">
        <v>39</v>
      </c>
    </row>
    <row r="1662" spans="1:15" x14ac:dyDescent="0.35">
      <c r="A1662" t="s">
        <v>3079</v>
      </c>
      <c r="B1662" s="1">
        <v>45845</v>
      </c>
      <c r="C1662" t="s">
        <v>3080</v>
      </c>
      <c r="D1662" t="s">
        <v>30</v>
      </c>
      <c r="E1662" t="s">
        <v>166</v>
      </c>
      <c r="F1662" t="s">
        <v>60</v>
      </c>
      <c r="G1662" t="s">
        <v>32</v>
      </c>
      <c r="H1662" t="s">
        <v>50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t="s">
        <v>39</v>
      </c>
    </row>
    <row r="1663" spans="1:15" x14ac:dyDescent="0.35">
      <c r="A1663" t="s">
        <v>3081</v>
      </c>
      <c r="B1663" s="1">
        <v>45845</v>
      </c>
      <c r="C1663" t="s">
        <v>3040</v>
      </c>
      <c r="D1663" t="s">
        <v>30</v>
      </c>
      <c r="E1663" t="s">
        <v>85</v>
      </c>
      <c r="F1663" t="s">
        <v>60</v>
      </c>
      <c r="G1663" t="s">
        <v>69</v>
      </c>
      <c r="H1663" t="s">
        <v>160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t="s">
        <v>39</v>
      </c>
    </row>
    <row r="1664" spans="1:15" x14ac:dyDescent="0.35">
      <c r="A1664" t="s">
        <v>3082</v>
      </c>
      <c r="B1664" s="1">
        <v>45846</v>
      </c>
      <c r="C1664" t="s">
        <v>1848</v>
      </c>
      <c r="D1664" t="s">
        <v>49</v>
      </c>
      <c r="E1664" t="s">
        <v>92</v>
      </c>
      <c r="F1664" t="s">
        <v>60</v>
      </c>
      <c r="G1664" t="s">
        <v>32</v>
      </c>
      <c r="H1664" t="s">
        <v>132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t="s">
        <v>34</v>
      </c>
    </row>
    <row r="1665" spans="1:15" x14ac:dyDescent="0.35">
      <c r="A1665" t="s">
        <v>3083</v>
      </c>
      <c r="B1665" s="1">
        <v>45846</v>
      </c>
      <c r="C1665" t="s">
        <v>3084</v>
      </c>
      <c r="D1665" t="s">
        <v>30</v>
      </c>
      <c r="E1665" t="s">
        <v>85</v>
      </c>
      <c r="F1665" t="s">
        <v>60</v>
      </c>
      <c r="G1665" t="s">
        <v>20</v>
      </c>
      <c r="H1665" t="s">
        <v>27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t="s">
        <v>34</v>
      </c>
    </row>
    <row r="1666" spans="1:15" x14ac:dyDescent="0.35">
      <c r="A1666" t="s">
        <v>3085</v>
      </c>
      <c r="B1666" s="1">
        <v>45848</v>
      </c>
      <c r="C1666" t="s">
        <v>3086</v>
      </c>
      <c r="D1666" t="s">
        <v>30</v>
      </c>
      <c r="E1666" t="s">
        <v>135</v>
      </c>
      <c r="F1666" t="s">
        <v>26</v>
      </c>
      <c r="G1666" t="s">
        <v>69</v>
      </c>
      <c r="H1666" t="s">
        <v>243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t="s">
        <v>34</v>
      </c>
    </row>
    <row r="1667" spans="1:15" x14ac:dyDescent="0.35">
      <c r="A1667" t="s">
        <v>3087</v>
      </c>
      <c r="B1667" s="1">
        <v>45850</v>
      </c>
      <c r="C1667" t="s">
        <v>3088</v>
      </c>
      <c r="D1667" t="s">
        <v>17</v>
      </c>
      <c r="E1667" t="s">
        <v>67</v>
      </c>
      <c r="F1667" t="s">
        <v>68</v>
      </c>
      <c r="G1667" t="s">
        <v>42</v>
      </c>
      <c r="H1667" t="s">
        <v>64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t="s">
        <v>39</v>
      </c>
    </row>
    <row r="1668" spans="1:15" x14ac:dyDescent="0.35">
      <c r="A1668" t="s">
        <v>3089</v>
      </c>
      <c r="B1668" s="1">
        <v>45851</v>
      </c>
      <c r="C1668" t="s">
        <v>383</v>
      </c>
      <c r="D1668" t="s">
        <v>17</v>
      </c>
      <c r="E1668" t="s">
        <v>248</v>
      </c>
      <c r="F1668" t="s">
        <v>26</v>
      </c>
      <c r="G1668" t="s">
        <v>42</v>
      </c>
      <c r="H1668" t="s">
        <v>46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t="s">
        <v>34</v>
      </c>
    </row>
    <row r="1669" spans="1:15" x14ac:dyDescent="0.35">
      <c r="A1669" t="s">
        <v>3090</v>
      </c>
      <c r="B1669" s="1">
        <v>45851</v>
      </c>
      <c r="C1669" t="s">
        <v>786</v>
      </c>
      <c r="D1669" t="s">
        <v>30</v>
      </c>
      <c r="E1669" t="s">
        <v>248</v>
      </c>
      <c r="F1669" t="s">
        <v>26</v>
      </c>
      <c r="G1669" t="s">
        <v>69</v>
      </c>
      <c r="H1669" t="s">
        <v>196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t="s">
        <v>22</v>
      </c>
    </row>
    <row r="1670" spans="1:15" x14ac:dyDescent="0.35">
      <c r="A1670" t="s">
        <v>3091</v>
      </c>
      <c r="B1670" s="1">
        <v>45851</v>
      </c>
      <c r="C1670" t="s">
        <v>3092</v>
      </c>
      <c r="D1670" t="s">
        <v>30</v>
      </c>
      <c r="E1670" t="s">
        <v>18</v>
      </c>
      <c r="F1670" t="s">
        <v>19</v>
      </c>
      <c r="G1670" t="s">
        <v>69</v>
      </c>
      <c r="H1670" t="s">
        <v>98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t="s">
        <v>22</v>
      </c>
    </row>
    <row r="1671" spans="1:15" x14ac:dyDescent="0.35">
      <c r="A1671" t="s">
        <v>3093</v>
      </c>
      <c r="B1671" s="1">
        <v>45851</v>
      </c>
      <c r="C1671" t="s">
        <v>3094</v>
      </c>
      <c r="D1671" t="s">
        <v>17</v>
      </c>
      <c r="E1671" t="s">
        <v>248</v>
      </c>
      <c r="F1671" t="s">
        <v>26</v>
      </c>
      <c r="G1671" t="s">
        <v>42</v>
      </c>
      <c r="H1671" t="s">
        <v>89</v>
      </c>
      <c r="I1671">
        <v>5</v>
      </c>
      <c r="J1671">
        <v>431.91</v>
      </c>
      <c r="K1671">
        <v>5</v>
      </c>
      <c r="L1671">
        <v>2051.5700000000002</v>
      </c>
      <c r="M1671">
        <v>9.75</v>
      </c>
      <c r="N1671">
        <v>746.09</v>
      </c>
      <c r="O1671" t="s">
        <v>56</v>
      </c>
    </row>
    <row r="1672" spans="1:15" x14ac:dyDescent="0.35">
      <c r="A1672" t="s">
        <v>3095</v>
      </c>
      <c r="B1672" s="1">
        <v>45852</v>
      </c>
      <c r="C1672" t="s">
        <v>3096</v>
      </c>
      <c r="D1672" t="s">
        <v>17</v>
      </c>
      <c r="E1672" t="s">
        <v>53</v>
      </c>
      <c r="F1672" t="s">
        <v>54</v>
      </c>
      <c r="G1672" t="s">
        <v>69</v>
      </c>
      <c r="H1672" t="s">
        <v>70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t="s">
        <v>56</v>
      </c>
    </row>
    <row r="1673" spans="1:15" x14ac:dyDescent="0.35">
      <c r="A1673" t="s">
        <v>3097</v>
      </c>
      <c r="B1673" s="1">
        <v>45852</v>
      </c>
      <c r="C1673" t="s">
        <v>3098</v>
      </c>
      <c r="D1673" t="s">
        <v>30</v>
      </c>
      <c r="E1673" t="s">
        <v>135</v>
      </c>
      <c r="F1673" t="s">
        <v>26</v>
      </c>
      <c r="G1673" t="s">
        <v>69</v>
      </c>
      <c r="H1673" t="s">
        <v>70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t="s">
        <v>22</v>
      </c>
    </row>
    <row r="1674" spans="1:15" x14ac:dyDescent="0.35">
      <c r="A1674" t="s">
        <v>3099</v>
      </c>
      <c r="B1674" s="1">
        <v>45853</v>
      </c>
      <c r="C1674" t="s">
        <v>3100</v>
      </c>
      <c r="D1674" t="s">
        <v>30</v>
      </c>
      <c r="E1674" t="s">
        <v>37</v>
      </c>
      <c r="F1674" t="s">
        <v>26</v>
      </c>
      <c r="G1674" t="s">
        <v>42</v>
      </c>
      <c r="H1674" t="s">
        <v>234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t="s">
        <v>34</v>
      </c>
    </row>
    <row r="1675" spans="1:15" x14ac:dyDescent="0.35">
      <c r="A1675" t="s">
        <v>3101</v>
      </c>
      <c r="B1675" s="1">
        <v>45853</v>
      </c>
      <c r="C1675" t="s">
        <v>2219</v>
      </c>
      <c r="D1675" t="s">
        <v>17</v>
      </c>
      <c r="E1675" t="s">
        <v>76</v>
      </c>
      <c r="F1675" t="s">
        <v>26</v>
      </c>
      <c r="G1675" t="s">
        <v>42</v>
      </c>
      <c r="H1675" t="s">
        <v>43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t="s">
        <v>34</v>
      </c>
    </row>
    <row r="1676" spans="1:15" x14ac:dyDescent="0.35">
      <c r="A1676" t="s">
        <v>3102</v>
      </c>
      <c r="B1676" s="1">
        <v>45853</v>
      </c>
      <c r="C1676" t="s">
        <v>477</v>
      </c>
      <c r="D1676" t="s">
        <v>30</v>
      </c>
      <c r="E1676" t="s">
        <v>248</v>
      </c>
      <c r="F1676" t="s">
        <v>26</v>
      </c>
      <c r="G1676" t="s">
        <v>42</v>
      </c>
      <c r="H1676" t="s">
        <v>255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t="s">
        <v>34</v>
      </c>
    </row>
    <row r="1677" spans="1:15" x14ac:dyDescent="0.35">
      <c r="A1677" t="s">
        <v>3103</v>
      </c>
      <c r="B1677" s="1">
        <v>45853</v>
      </c>
      <c r="C1677" t="s">
        <v>2807</v>
      </c>
      <c r="D1677" t="s">
        <v>30</v>
      </c>
      <c r="E1677" t="s">
        <v>25</v>
      </c>
      <c r="F1677" t="s">
        <v>26</v>
      </c>
      <c r="G1677" t="s">
        <v>42</v>
      </c>
      <c r="H1677" t="s">
        <v>64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t="s">
        <v>39</v>
      </c>
    </row>
    <row r="1678" spans="1:15" x14ac:dyDescent="0.35">
      <c r="A1678" t="s">
        <v>3104</v>
      </c>
      <c r="B1678" s="1">
        <v>45854</v>
      </c>
      <c r="C1678" t="s">
        <v>1246</v>
      </c>
      <c r="D1678" t="s">
        <v>30</v>
      </c>
      <c r="E1678" t="s">
        <v>109</v>
      </c>
      <c r="F1678" t="s">
        <v>54</v>
      </c>
      <c r="G1678" t="s">
        <v>20</v>
      </c>
      <c r="H1678" t="s">
        <v>175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t="s">
        <v>39</v>
      </c>
    </row>
    <row r="1679" spans="1:15" x14ac:dyDescent="0.35">
      <c r="A1679" t="s">
        <v>3105</v>
      </c>
      <c r="B1679" s="1">
        <v>45854</v>
      </c>
      <c r="C1679" t="s">
        <v>3106</v>
      </c>
      <c r="D1679" t="s">
        <v>30</v>
      </c>
      <c r="E1679" t="s">
        <v>85</v>
      </c>
      <c r="F1679" t="s">
        <v>60</v>
      </c>
      <c r="G1679" t="s">
        <v>69</v>
      </c>
      <c r="H1679" t="s">
        <v>79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t="s">
        <v>22</v>
      </c>
    </row>
    <row r="1680" spans="1:15" x14ac:dyDescent="0.35">
      <c r="A1680" t="s">
        <v>3107</v>
      </c>
      <c r="B1680" s="1">
        <v>45854</v>
      </c>
      <c r="C1680" t="s">
        <v>3108</v>
      </c>
      <c r="D1680" t="s">
        <v>17</v>
      </c>
      <c r="E1680" t="s">
        <v>85</v>
      </c>
      <c r="F1680" t="s">
        <v>60</v>
      </c>
      <c r="G1680" t="s">
        <v>32</v>
      </c>
      <c r="H1680" t="s">
        <v>82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t="s">
        <v>39</v>
      </c>
    </row>
    <row r="1681" spans="1:15" x14ac:dyDescent="0.35">
      <c r="A1681" t="s">
        <v>3109</v>
      </c>
      <c r="B1681" s="1">
        <v>45855</v>
      </c>
      <c r="C1681" t="s">
        <v>2629</v>
      </c>
      <c r="D1681" t="s">
        <v>30</v>
      </c>
      <c r="E1681" t="s">
        <v>129</v>
      </c>
      <c r="F1681" t="s">
        <v>19</v>
      </c>
      <c r="G1681" t="s">
        <v>42</v>
      </c>
      <c r="H1681" t="s">
        <v>43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t="s">
        <v>39</v>
      </c>
    </row>
    <row r="1682" spans="1:15" x14ac:dyDescent="0.35">
      <c r="A1682" t="s">
        <v>3110</v>
      </c>
      <c r="B1682" s="1">
        <v>45855</v>
      </c>
      <c r="C1682" t="s">
        <v>3111</v>
      </c>
      <c r="D1682" t="s">
        <v>17</v>
      </c>
      <c r="E1682" t="s">
        <v>85</v>
      </c>
      <c r="F1682" t="s">
        <v>60</v>
      </c>
      <c r="G1682" t="s">
        <v>42</v>
      </c>
      <c r="H1682" t="s">
        <v>294</v>
      </c>
      <c r="I1682">
        <v>4</v>
      </c>
      <c r="J1682">
        <v>274.79000000000002</v>
      </c>
      <c r="K1682">
        <v>5</v>
      </c>
      <c r="L1682">
        <v>1044.2</v>
      </c>
      <c r="M1682">
        <v>18.5</v>
      </c>
      <c r="N1682">
        <v>366.2</v>
      </c>
      <c r="O1682" t="s">
        <v>56</v>
      </c>
    </row>
    <row r="1683" spans="1:15" x14ac:dyDescent="0.35">
      <c r="A1683" t="s">
        <v>3112</v>
      </c>
      <c r="B1683" s="1">
        <v>45856</v>
      </c>
      <c r="C1683" t="s">
        <v>3113</v>
      </c>
      <c r="D1683" t="s">
        <v>17</v>
      </c>
      <c r="E1683" t="s">
        <v>129</v>
      </c>
      <c r="F1683" t="s">
        <v>19</v>
      </c>
      <c r="G1683" t="s">
        <v>42</v>
      </c>
      <c r="H1683" t="s">
        <v>255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t="s">
        <v>22</v>
      </c>
    </row>
    <row r="1684" spans="1:15" x14ac:dyDescent="0.35">
      <c r="A1684" t="s">
        <v>3114</v>
      </c>
      <c r="B1684" s="1">
        <v>45856</v>
      </c>
      <c r="C1684" t="s">
        <v>3115</v>
      </c>
      <c r="D1684" t="s">
        <v>17</v>
      </c>
      <c r="E1684" t="s">
        <v>31</v>
      </c>
      <c r="F1684" t="s">
        <v>19</v>
      </c>
      <c r="G1684" t="s">
        <v>20</v>
      </c>
      <c r="H1684" t="s">
        <v>27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t="s">
        <v>39</v>
      </c>
    </row>
    <row r="1685" spans="1:15" x14ac:dyDescent="0.35">
      <c r="A1685" t="s">
        <v>3116</v>
      </c>
      <c r="B1685" s="1">
        <v>45857</v>
      </c>
      <c r="C1685" t="s">
        <v>797</v>
      </c>
      <c r="D1685" t="s">
        <v>30</v>
      </c>
      <c r="E1685" t="s">
        <v>76</v>
      </c>
      <c r="F1685" t="s">
        <v>26</v>
      </c>
      <c r="G1685" t="s">
        <v>69</v>
      </c>
      <c r="H1685" t="s">
        <v>86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t="s">
        <v>39</v>
      </c>
    </row>
    <row r="1686" spans="1:15" x14ac:dyDescent="0.35">
      <c r="A1686" t="s">
        <v>3117</v>
      </c>
      <c r="B1686" s="1">
        <v>45857</v>
      </c>
      <c r="C1686" t="s">
        <v>3118</v>
      </c>
      <c r="D1686" t="s">
        <v>17</v>
      </c>
      <c r="E1686" t="s">
        <v>25</v>
      </c>
      <c r="F1686" t="s">
        <v>26</v>
      </c>
      <c r="G1686" t="s">
        <v>42</v>
      </c>
      <c r="H1686" t="s">
        <v>89</v>
      </c>
      <c r="I1686">
        <v>4</v>
      </c>
      <c r="J1686">
        <v>367.48</v>
      </c>
      <c r="K1686">
        <v>10</v>
      </c>
      <c r="L1686">
        <v>1322.93</v>
      </c>
      <c r="M1686">
        <v>9.83</v>
      </c>
      <c r="N1686">
        <v>431.15</v>
      </c>
      <c r="O1686" t="s">
        <v>34</v>
      </c>
    </row>
    <row r="1687" spans="1:15" x14ac:dyDescent="0.35">
      <c r="A1687" t="s">
        <v>3119</v>
      </c>
      <c r="B1687" s="1">
        <v>45857</v>
      </c>
      <c r="C1687" t="s">
        <v>3120</v>
      </c>
      <c r="D1687" t="s">
        <v>30</v>
      </c>
      <c r="E1687" t="s">
        <v>129</v>
      </c>
      <c r="F1687" t="s">
        <v>19</v>
      </c>
      <c r="G1687" t="s">
        <v>42</v>
      </c>
      <c r="H1687" t="s">
        <v>89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t="s">
        <v>34</v>
      </c>
    </row>
    <row r="1688" spans="1:15" x14ac:dyDescent="0.35">
      <c r="A1688" t="s">
        <v>3121</v>
      </c>
      <c r="B1688" s="1">
        <v>45857</v>
      </c>
      <c r="C1688" t="s">
        <v>3122</v>
      </c>
      <c r="D1688" t="s">
        <v>30</v>
      </c>
      <c r="E1688" t="s">
        <v>37</v>
      </c>
      <c r="F1688" t="s">
        <v>26</v>
      </c>
      <c r="G1688" t="s">
        <v>20</v>
      </c>
      <c r="H1688" t="s">
        <v>170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t="s">
        <v>22</v>
      </c>
    </row>
    <row r="1689" spans="1:15" x14ac:dyDescent="0.35">
      <c r="A1689" t="s">
        <v>3123</v>
      </c>
      <c r="B1689" s="1">
        <v>45858</v>
      </c>
      <c r="C1689" t="s">
        <v>3124</v>
      </c>
      <c r="D1689" t="s">
        <v>17</v>
      </c>
      <c r="E1689" t="s">
        <v>166</v>
      </c>
      <c r="F1689" t="s">
        <v>60</v>
      </c>
      <c r="G1689" t="s">
        <v>69</v>
      </c>
      <c r="H1689" t="s">
        <v>98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t="s">
        <v>22</v>
      </c>
    </row>
    <row r="1690" spans="1:15" x14ac:dyDescent="0.35">
      <c r="A1690" t="s">
        <v>3125</v>
      </c>
      <c r="B1690" s="1">
        <v>45858</v>
      </c>
      <c r="C1690" t="s">
        <v>3126</v>
      </c>
      <c r="D1690" t="s">
        <v>30</v>
      </c>
      <c r="E1690" t="s">
        <v>59</v>
      </c>
      <c r="F1690" t="s">
        <v>60</v>
      </c>
      <c r="G1690" t="s">
        <v>69</v>
      </c>
      <c r="H1690" t="s">
        <v>79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t="s">
        <v>39</v>
      </c>
    </row>
    <row r="1691" spans="1:15" x14ac:dyDescent="0.35">
      <c r="A1691" t="s">
        <v>3127</v>
      </c>
      <c r="B1691" s="1">
        <v>45858</v>
      </c>
      <c r="C1691" t="s">
        <v>3128</v>
      </c>
      <c r="D1691" t="s">
        <v>30</v>
      </c>
      <c r="E1691" t="s">
        <v>92</v>
      </c>
      <c r="F1691" t="s">
        <v>60</v>
      </c>
      <c r="G1691" t="s">
        <v>20</v>
      </c>
      <c r="H1691" t="s">
        <v>106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t="s">
        <v>34</v>
      </c>
    </row>
    <row r="1692" spans="1:15" x14ac:dyDescent="0.35">
      <c r="A1692" t="s">
        <v>3129</v>
      </c>
      <c r="B1692" s="1">
        <v>45858</v>
      </c>
      <c r="C1692" t="s">
        <v>3130</v>
      </c>
      <c r="D1692" t="s">
        <v>30</v>
      </c>
      <c r="E1692" t="s">
        <v>67</v>
      </c>
      <c r="F1692" t="s">
        <v>68</v>
      </c>
      <c r="G1692" t="s">
        <v>42</v>
      </c>
      <c r="H1692" t="s">
        <v>46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t="s">
        <v>56</v>
      </c>
    </row>
    <row r="1693" spans="1:15" x14ac:dyDescent="0.35">
      <c r="A1693" t="s">
        <v>3131</v>
      </c>
      <c r="B1693" s="1">
        <v>45859</v>
      </c>
      <c r="C1693" t="s">
        <v>2520</v>
      </c>
      <c r="D1693" t="s">
        <v>30</v>
      </c>
      <c r="E1693" t="s">
        <v>18</v>
      </c>
      <c r="F1693" t="s">
        <v>19</v>
      </c>
      <c r="G1693" t="s">
        <v>69</v>
      </c>
      <c r="H1693" t="s">
        <v>79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t="s">
        <v>34</v>
      </c>
    </row>
    <row r="1694" spans="1:15" x14ac:dyDescent="0.35">
      <c r="A1694" t="s">
        <v>3132</v>
      </c>
      <c r="B1694" s="1">
        <v>45861</v>
      </c>
      <c r="C1694" t="s">
        <v>3133</v>
      </c>
      <c r="D1694" t="s">
        <v>17</v>
      </c>
      <c r="E1694" t="s">
        <v>169</v>
      </c>
      <c r="F1694" t="s">
        <v>68</v>
      </c>
      <c r="G1694" t="s">
        <v>20</v>
      </c>
      <c r="H1694" t="s">
        <v>264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t="s">
        <v>22</v>
      </c>
    </row>
    <row r="1695" spans="1:15" x14ac:dyDescent="0.35">
      <c r="A1695" t="s">
        <v>3134</v>
      </c>
      <c r="B1695" s="1">
        <v>45861</v>
      </c>
      <c r="C1695" t="s">
        <v>329</v>
      </c>
      <c r="D1695" t="s">
        <v>30</v>
      </c>
      <c r="E1695" t="s">
        <v>129</v>
      </c>
      <c r="F1695" t="s">
        <v>19</v>
      </c>
      <c r="G1695" t="s">
        <v>20</v>
      </c>
      <c r="H1695" t="s">
        <v>106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t="s">
        <v>34</v>
      </c>
    </row>
    <row r="1696" spans="1:15" x14ac:dyDescent="0.35">
      <c r="A1696" t="s">
        <v>3135</v>
      </c>
      <c r="B1696" s="1">
        <v>45861</v>
      </c>
      <c r="C1696" t="s">
        <v>3136</v>
      </c>
      <c r="D1696" t="s">
        <v>17</v>
      </c>
      <c r="E1696" t="s">
        <v>138</v>
      </c>
      <c r="F1696" t="s">
        <v>54</v>
      </c>
      <c r="G1696" t="s">
        <v>20</v>
      </c>
      <c r="H1696" t="s">
        <v>199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t="s">
        <v>22</v>
      </c>
    </row>
    <row r="1697" spans="1:15" x14ac:dyDescent="0.35">
      <c r="A1697" t="s">
        <v>3137</v>
      </c>
      <c r="B1697" s="1">
        <v>45862</v>
      </c>
      <c r="C1697" t="s">
        <v>2318</v>
      </c>
      <c r="D1697" t="s">
        <v>49</v>
      </c>
      <c r="E1697" t="s">
        <v>169</v>
      </c>
      <c r="F1697" t="s">
        <v>68</v>
      </c>
      <c r="G1697" t="s">
        <v>32</v>
      </c>
      <c r="H1697" t="s">
        <v>33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t="s">
        <v>34</v>
      </c>
    </row>
    <row r="1698" spans="1:15" x14ac:dyDescent="0.35">
      <c r="A1698" t="s">
        <v>3138</v>
      </c>
      <c r="B1698" s="1">
        <v>45862</v>
      </c>
      <c r="C1698" t="s">
        <v>3139</v>
      </c>
      <c r="D1698" t="s">
        <v>49</v>
      </c>
      <c r="E1698" t="s">
        <v>135</v>
      </c>
      <c r="F1698" t="s">
        <v>26</v>
      </c>
      <c r="G1698" t="s">
        <v>32</v>
      </c>
      <c r="H1698" t="s">
        <v>50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t="s">
        <v>56</v>
      </c>
    </row>
    <row r="1699" spans="1:15" x14ac:dyDescent="0.35">
      <c r="A1699" t="s">
        <v>3140</v>
      </c>
      <c r="B1699" s="1">
        <v>45862</v>
      </c>
      <c r="C1699" t="s">
        <v>3141</v>
      </c>
      <c r="D1699" t="s">
        <v>17</v>
      </c>
      <c r="E1699" t="s">
        <v>92</v>
      </c>
      <c r="F1699" t="s">
        <v>60</v>
      </c>
      <c r="G1699" t="s">
        <v>42</v>
      </c>
      <c r="H1699" t="s">
        <v>294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t="s">
        <v>34</v>
      </c>
    </row>
    <row r="1700" spans="1:15" x14ac:dyDescent="0.35">
      <c r="A1700" t="s">
        <v>3142</v>
      </c>
      <c r="B1700" s="1">
        <v>45863</v>
      </c>
      <c r="C1700" t="s">
        <v>728</v>
      </c>
      <c r="D1700" t="s">
        <v>30</v>
      </c>
      <c r="E1700" t="s">
        <v>129</v>
      </c>
      <c r="F1700" t="s">
        <v>19</v>
      </c>
      <c r="G1700" t="s">
        <v>20</v>
      </c>
      <c r="H1700" t="s">
        <v>264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t="s">
        <v>34</v>
      </c>
    </row>
    <row r="1701" spans="1:15" x14ac:dyDescent="0.35">
      <c r="A1701" t="s">
        <v>3143</v>
      </c>
      <c r="B1701" s="1">
        <v>45863</v>
      </c>
      <c r="C1701" t="s">
        <v>3144</v>
      </c>
      <c r="D1701" t="s">
        <v>30</v>
      </c>
      <c r="E1701" t="s">
        <v>85</v>
      </c>
      <c r="F1701" t="s">
        <v>60</v>
      </c>
      <c r="G1701" t="s">
        <v>42</v>
      </c>
      <c r="H1701" t="s">
        <v>43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t="s">
        <v>34</v>
      </c>
    </row>
    <row r="1702" spans="1:15" x14ac:dyDescent="0.35">
      <c r="A1702" t="s">
        <v>3145</v>
      </c>
      <c r="B1702" s="1">
        <v>45864</v>
      </c>
      <c r="C1702" t="s">
        <v>3146</v>
      </c>
      <c r="D1702" t="s">
        <v>17</v>
      </c>
      <c r="E1702" t="s">
        <v>92</v>
      </c>
      <c r="F1702" t="s">
        <v>60</v>
      </c>
      <c r="G1702" t="s">
        <v>20</v>
      </c>
      <c r="H1702" t="s">
        <v>38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t="s">
        <v>22</v>
      </c>
    </row>
    <row r="1703" spans="1:15" x14ac:dyDescent="0.35">
      <c r="A1703" t="s">
        <v>3147</v>
      </c>
      <c r="B1703" s="1">
        <v>45864</v>
      </c>
      <c r="C1703" t="s">
        <v>3148</v>
      </c>
      <c r="D1703" t="s">
        <v>17</v>
      </c>
      <c r="E1703" t="s">
        <v>18</v>
      </c>
      <c r="F1703" t="s">
        <v>19</v>
      </c>
      <c r="G1703" t="s">
        <v>42</v>
      </c>
      <c r="H1703" t="s">
        <v>371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t="s">
        <v>34</v>
      </c>
    </row>
    <row r="1704" spans="1:15" x14ac:dyDescent="0.35">
      <c r="A1704" t="s">
        <v>3149</v>
      </c>
      <c r="B1704" s="1">
        <v>45864</v>
      </c>
      <c r="C1704" t="s">
        <v>2113</v>
      </c>
      <c r="D1704" t="s">
        <v>30</v>
      </c>
      <c r="E1704" t="s">
        <v>148</v>
      </c>
      <c r="F1704" t="s">
        <v>60</v>
      </c>
      <c r="G1704" t="s">
        <v>69</v>
      </c>
      <c r="H1704" t="s">
        <v>86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t="s">
        <v>22</v>
      </c>
    </row>
    <row r="1705" spans="1:15" x14ac:dyDescent="0.35">
      <c r="A1705" t="s">
        <v>3150</v>
      </c>
      <c r="B1705" s="1">
        <v>45864</v>
      </c>
      <c r="C1705" t="s">
        <v>952</v>
      </c>
      <c r="D1705" t="s">
        <v>17</v>
      </c>
      <c r="E1705" t="s">
        <v>67</v>
      </c>
      <c r="F1705" t="s">
        <v>68</v>
      </c>
      <c r="G1705" t="s">
        <v>32</v>
      </c>
      <c r="H1705" t="s">
        <v>348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t="s">
        <v>39</v>
      </c>
    </row>
    <row r="1706" spans="1:15" x14ac:dyDescent="0.35">
      <c r="A1706" t="s">
        <v>3151</v>
      </c>
      <c r="B1706" s="1">
        <v>45864</v>
      </c>
      <c r="C1706" t="s">
        <v>896</v>
      </c>
      <c r="D1706" t="s">
        <v>30</v>
      </c>
      <c r="E1706" t="s">
        <v>166</v>
      </c>
      <c r="F1706" t="s">
        <v>60</v>
      </c>
      <c r="G1706" t="s">
        <v>69</v>
      </c>
      <c r="H1706" t="s">
        <v>98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t="s">
        <v>34</v>
      </c>
    </row>
    <row r="1707" spans="1:15" x14ac:dyDescent="0.35">
      <c r="A1707" t="s">
        <v>3152</v>
      </c>
      <c r="B1707" s="1">
        <v>45865</v>
      </c>
      <c r="C1707" t="s">
        <v>3153</v>
      </c>
      <c r="D1707" t="s">
        <v>49</v>
      </c>
      <c r="E1707" t="s">
        <v>248</v>
      </c>
      <c r="F1707" t="s">
        <v>26</v>
      </c>
      <c r="G1707" t="s">
        <v>69</v>
      </c>
      <c r="H1707" t="s">
        <v>163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t="s">
        <v>39</v>
      </c>
    </row>
    <row r="1708" spans="1:15" x14ac:dyDescent="0.35">
      <c r="A1708" t="s">
        <v>3154</v>
      </c>
      <c r="B1708" s="1">
        <v>45865</v>
      </c>
      <c r="C1708" t="s">
        <v>3155</v>
      </c>
      <c r="D1708" t="s">
        <v>30</v>
      </c>
      <c r="E1708" t="s">
        <v>135</v>
      </c>
      <c r="F1708" t="s">
        <v>26</v>
      </c>
      <c r="G1708" t="s">
        <v>69</v>
      </c>
      <c r="H1708" t="s">
        <v>243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t="s">
        <v>56</v>
      </c>
    </row>
    <row r="1709" spans="1:15" x14ac:dyDescent="0.35">
      <c r="A1709" t="s">
        <v>3156</v>
      </c>
      <c r="B1709" s="1">
        <v>45866</v>
      </c>
      <c r="C1709" t="s">
        <v>3157</v>
      </c>
      <c r="D1709" t="s">
        <v>49</v>
      </c>
      <c r="E1709" t="s">
        <v>135</v>
      </c>
      <c r="F1709" t="s">
        <v>26</v>
      </c>
      <c r="G1709" t="s">
        <v>42</v>
      </c>
      <c r="H1709" t="s">
        <v>46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t="s">
        <v>39</v>
      </c>
    </row>
    <row r="1710" spans="1:15" x14ac:dyDescent="0.35">
      <c r="A1710" t="s">
        <v>3158</v>
      </c>
      <c r="B1710" s="1">
        <v>45867</v>
      </c>
      <c r="C1710" t="s">
        <v>277</v>
      </c>
      <c r="D1710" t="s">
        <v>30</v>
      </c>
      <c r="E1710" t="s">
        <v>148</v>
      </c>
      <c r="F1710" t="s">
        <v>60</v>
      </c>
      <c r="G1710" t="s">
        <v>42</v>
      </c>
      <c r="H1710" t="s">
        <v>46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t="s">
        <v>39</v>
      </c>
    </row>
    <row r="1711" spans="1:15" x14ac:dyDescent="0.35">
      <c r="A1711" t="s">
        <v>3159</v>
      </c>
      <c r="B1711" s="1">
        <v>45867</v>
      </c>
      <c r="C1711" t="s">
        <v>3160</v>
      </c>
      <c r="D1711" t="s">
        <v>30</v>
      </c>
      <c r="E1711" t="s">
        <v>31</v>
      </c>
      <c r="F1711" t="s">
        <v>19</v>
      </c>
      <c r="G1711" t="s">
        <v>69</v>
      </c>
      <c r="H1711" t="s">
        <v>139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t="s">
        <v>22</v>
      </c>
    </row>
    <row r="1712" spans="1:15" x14ac:dyDescent="0.35">
      <c r="A1712" t="s">
        <v>3161</v>
      </c>
      <c r="B1712" s="1">
        <v>45869</v>
      </c>
      <c r="C1712" t="s">
        <v>3162</v>
      </c>
      <c r="D1712" t="s">
        <v>30</v>
      </c>
      <c r="E1712" t="s">
        <v>25</v>
      </c>
      <c r="F1712" t="s">
        <v>26</v>
      </c>
      <c r="G1712" t="s">
        <v>42</v>
      </c>
      <c r="H1712" t="s">
        <v>255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t="s">
        <v>39</v>
      </c>
    </row>
    <row r="1713" spans="1:15" x14ac:dyDescent="0.35">
      <c r="A1713" t="s">
        <v>3163</v>
      </c>
      <c r="B1713" s="1">
        <v>45869</v>
      </c>
      <c r="C1713" t="s">
        <v>948</v>
      </c>
      <c r="D1713" t="s">
        <v>30</v>
      </c>
      <c r="E1713" t="s">
        <v>76</v>
      </c>
      <c r="F1713" t="s">
        <v>26</v>
      </c>
      <c r="G1713" t="s">
        <v>69</v>
      </c>
      <c r="H1713" t="s">
        <v>79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t="s">
        <v>34</v>
      </c>
    </row>
    <row r="1714" spans="1:15" x14ac:dyDescent="0.35">
      <c r="A1714" t="s">
        <v>3164</v>
      </c>
      <c r="B1714" s="1">
        <v>45870</v>
      </c>
      <c r="C1714" t="s">
        <v>635</v>
      </c>
      <c r="D1714" t="s">
        <v>17</v>
      </c>
      <c r="E1714" t="s">
        <v>67</v>
      </c>
      <c r="F1714" t="s">
        <v>68</v>
      </c>
      <c r="G1714" t="s">
        <v>20</v>
      </c>
      <c r="H1714" t="s">
        <v>38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t="s">
        <v>39</v>
      </c>
    </row>
    <row r="1715" spans="1:15" x14ac:dyDescent="0.35">
      <c r="A1715" t="s">
        <v>3165</v>
      </c>
      <c r="B1715" s="1">
        <v>45870</v>
      </c>
      <c r="C1715" t="s">
        <v>3166</v>
      </c>
      <c r="D1715" t="s">
        <v>49</v>
      </c>
      <c r="E1715" t="s">
        <v>129</v>
      </c>
      <c r="F1715" t="s">
        <v>19</v>
      </c>
      <c r="G1715" t="s">
        <v>20</v>
      </c>
      <c r="H1715" t="s">
        <v>264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t="s">
        <v>34</v>
      </c>
    </row>
    <row r="1716" spans="1:15" x14ac:dyDescent="0.35">
      <c r="A1716" t="s">
        <v>3167</v>
      </c>
      <c r="B1716" s="1">
        <v>45871</v>
      </c>
      <c r="C1716" t="s">
        <v>3168</v>
      </c>
      <c r="D1716" t="s">
        <v>17</v>
      </c>
      <c r="E1716" t="s">
        <v>67</v>
      </c>
      <c r="F1716" t="s">
        <v>68</v>
      </c>
      <c r="G1716" t="s">
        <v>32</v>
      </c>
      <c r="H1716" t="s">
        <v>149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t="s">
        <v>39</v>
      </c>
    </row>
    <row r="1717" spans="1:15" x14ac:dyDescent="0.35">
      <c r="A1717" t="s">
        <v>3169</v>
      </c>
      <c r="B1717" s="1">
        <v>45871</v>
      </c>
      <c r="C1717" t="s">
        <v>3170</v>
      </c>
      <c r="D1717" t="s">
        <v>30</v>
      </c>
      <c r="E1717" t="s">
        <v>138</v>
      </c>
      <c r="F1717" t="s">
        <v>54</v>
      </c>
      <c r="G1717" t="s">
        <v>20</v>
      </c>
      <c r="H1717" t="s">
        <v>122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t="s">
        <v>56</v>
      </c>
    </row>
    <row r="1718" spans="1:15" x14ac:dyDescent="0.35">
      <c r="A1718" t="s">
        <v>3171</v>
      </c>
      <c r="B1718" s="1">
        <v>45872</v>
      </c>
      <c r="C1718" t="s">
        <v>1780</v>
      </c>
      <c r="D1718" t="s">
        <v>30</v>
      </c>
      <c r="E1718" t="s">
        <v>129</v>
      </c>
      <c r="F1718" t="s">
        <v>19</v>
      </c>
      <c r="G1718" t="s">
        <v>42</v>
      </c>
      <c r="H1718" t="s">
        <v>43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t="s">
        <v>34</v>
      </c>
    </row>
    <row r="1719" spans="1:15" x14ac:dyDescent="0.35">
      <c r="A1719" t="s">
        <v>3172</v>
      </c>
      <c r="B1719" s="1">
        <v>45873</v>
      </c>
      <c r="C1719" t="s">
        <v>3173</v>
      </c>
      <c r="D1719" t="s">
        <v>30</v>
      </c>
      <c r="E1719" t="s">
        <v>18</v>
      </c>
      <c r="F1719" t="s">
        <v>19</v>
      </c>
      <c r="G1719" t="s">
        <v>20</v>
      </c>
      <c r="H1719" t="s">
        <v>264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t="s">
        <v>34</v>
      </c>
    </row>
    <row r="1720" spans="1:15" x14ac:dyDescent="0.35">
      <c r="A1720" t="s">
        <v>3174</v>
      </c>
      <c r="B1720" s="1">
        <v>45874</v>
      </c>
      <c r="C1720" t="s">
        <v>3175</v>
      </c>
      <c r="D1720" t="s">
        <v>30</v>
      </c>
      <c r="E1720" t="s">
        <v>138</v>
      </c>
      <c r="F1720" t="s">
        <v>54</v>
      </c>
      <c r="G1720" t="s">
        <v>32</v>
      </c>
      <c r="H1720" t="s">
        <v>33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t="s">
        <v>39</v>
      </c>
    </row>
    <row r="1721" spans="1:15" x14ac:dyDescent="0.35">
      <c r="A1721" t="s">
        <v>3176</v>
      </c>
      <c r="B1721" s="1">
        <v>45874</v>
      </c>
      <c r="C1721" t="s">
        <v>3177</v>
      </c>
      <c r="D1721" t="s">
        <v>49</v>
      </c>
      <c r="E1721" t="s">
        <v>248</v>
      </c>
      <c r="F1721" t="s">
        <v>26</v>
      </c>
      <c r="G1721" t="s">
        <v>32</v>
      </c>
      <c r="H1721" t="s">
        <v>149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t="s">
        <v>56</v>
      </c>
    </row>
    <row r="1722" spans="1:15" x14ac:dyDescent="0.35">
      <c r="A1722" t="s">
        <v>3178</v>
      </c>
      <c r="B1722" s="1">
        <v>45875</v>
      </c>
      <c r="C1722" t="s">
        <v>3179</v>
      </c>
      <c r="D1722" t="s">
        <v>30</v>
      </c>
      <c r="E1722" t="s">
        <v>31</v>
      </c>
      <c r="F1722" t="s">
        <v>19</v>
      </c>
      <c r="G1722" t="s">
        <v>42</v>
      </c>
      <c r="H1722" t="s">
        <v>118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t="s">
        <v>39</v>
      </c>
    </row>
    <row r="1723" spans="1:15" x14ac:dyDescent="0.35">
      <c r="A1723" t="s">
        <v>3180</v>
      </c>
      <c r="B1723" s="1">
        <v>45875</v>
      </c>
      <c r="C1723" t="s">
        <v>3181</v>
      </c>
      <c r="D1723" t="s">
        <v>30</v>
      </c>
      <c r="E1723" t="s">
        <v>148</v>
      </c>
      <c r="F1723" t="s">
        <v>60</v>
      </c>
      <c r="G1723" t="s">
        <v>42</v>
      </c>
      <c r="H1723" t="s">
        <v>255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t="s">
        <v>22</v>
      </c>
    </row>
    <row r="1724" spans="1:15" x14ac:dyDescent="0.35">
      <c r="A1724" t="s">
        <v>3182</v>
      </c>
      <c r="B1724" s="1">
        <v>45876</v>
      </c>
      <c r="C1724" t="s">
        <v>2406</v>
      </c>
      <c r="D1724" t="s">
        <v>17</v>
      </c>
      <c r="E1724" t="s">
        <v>85</v>
      </c>
      <c r="F1724" t="s">
        <v>60</v>
      </c>
      <c r="G1724" t="s">
        <v>69</v>
      </c>
      <c r="H1724" t="s">
        <v>305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t="s">
        <v>34</v>
      </c>
    </row>
    <row r="1725" spans="1:15" x14ac:dyDescent="0.35">
      <c r="A1725" t="s">
        <v>3183</v>
      </c>
      <c r="B1725" s="1">
        <v>45878</v>
      </c>
      <c r="C1725" t="s">
        <v>3184</v>
      </c>
      <c r="D1725" t="s">
        <v>30</v>
      </c>
      <c r="E1725" t="s">
        <v>135</v>
      </c>
      <c r="F1725" t="s">
        <v>26</v>
      </c>
      <c r="G1725" t="s">
        <v>69</v>
      </c>
      <c r="H1725" t="s">
        <v>70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t="s">
        <v>39</v>
      </c>
    </row>
    <row r="1726" spans="1:15" x14ac:dyDescent="0.35">
      <c r="A1726" t="s">
        <v>3185</v>
      </c>
      <c r="B1726" s="1">
        <v>45878</v>
      </c>
      <c r="C1726" t="s">
        <v>2406</v>
      </c>
      <c r="D1726" t="s">
        <v>30</v>
      </c>
      <c r="E1726" t="s">
        <v>18</v>
      </c>
      <c r="F1726" t="s">
        <v>19</v>
      </c>
      <c r="G1726" t="s">
        <v>69</v>
      </c>
      <c r="H1726" t="s">
        <v>70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t="s">
        <v>34</v>
      </c>
    </row>
    <row r="1727" spans="1:15" x14ac:dyDescent="0.35">
      <c r="A1727" t="s">
        <v>3186</v>
      </c>
      <c r="B1727" s="1">
        <v>45879</v>
      </c>
      <c r="C1727" t="s">
        <v>1171</v>
      </c>
      <c r="D1727" t="s">
        <v>17</v>
      </c>
      <c r="E1727" t="s">
        <v>169</v>
      </c>
      <c r="F1727" t="s">
        <v>68</v>
      </c>
      <c r="G1727" t="s">
        <v>20</v>
      </c>
      <c r="H1727" t="s">
        <v>21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t="s">
        <v>22</v>
      </c>
    </row>
    <row r="1728" spans="1:15" x14ac:dyDescent="0.35">
      <c r="A1728" t="s">
        <v>3187</v>
      </c>
      <c r="B1728" s="1">
        <v>45879</v>
      </c>
      <c r="C1728" t="s">
        <v>3188</v>
      </c>
      <c r="D1728" t="s">
        <v>30</v>
      </c>
      <c r="E1728" t="s">
        <v>25</v>
      </c>
      <c r="F1728" t="s">
        <v>26</v>
      </c>
      <c r="G1728" t="s">
        <v>69</v>
      </c>
      <c r="H1728" t="s">
        <v>79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t="s">
        <v>56</v>
      </c>
    </row>
    <row r="1729" spans="1:15" x14ac:dyDescent="0.35">
      <c r="A1729" t="s">
        <v>3189</v>
      </c>
      <c r="B1729" s="1">
        <v>45880</v>
      </c>
      <c r="C1729" t="s">
        <v>75</v>
      </c>
      <c r="D1729" t="s">
        <v>17</v>
      </c>
      <c r="E1729" t="s">
        <v>59</v>
      </c>
      <c r="F1729" t="s">
        <v>60</v>
      </c>
      <c r="G1729" t="s">
        <v>32</v>
      </c>
      <c r="H1729" t="s">
        <v>101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t="s">
        <v>39</v>
      </c>
    </row>
    <row r="1730" spans="1:15" x14ac:dyDescent="0.35">
      <c r="A1730" t="s">
        <v>3190</v>
      </c>
      <c r="B1730" s="1">
        <v>45882</v>
      </c>
      <c r="C1730" t="s">
        <v>3191</v>
      </c>
      <c r="D1730" t="s">
        <v>17</v>
      </c>
      <c r="E1730" t="s">
        <v>25</v>
      </c>
      <c r="F1730" t="s">
        <v>26</v>
      </c>
      <c r="G1730" t="s">
        <v>69</v>
      </c>
      <c r="H1730" t="s">
        <v>196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t="s">
        <v>56</v>
      </c>
    </row>
    <row r="1731" spans="1:15" x14ac:dyDescent="0.35">
      <c r="A1731" t="s">
        <v>3192</v>
      </c>
      <c r="B1731" s="1">
        <v>45885</v>
      </c>
      <c r="C1731" t="s">
        <v>3193</v>
      </c>
      <c r="D1731" t="s">
        <v>30</v>
      </c>
      <c r="E1731" t="s">
        <v>109</v>
      </c>
      <c r="F1731" t="s">
        <v>54</v>
      </c>
      <c r="G1731" t="s">
        <v>69</v>
      </c>
      <c r="H1731" t="s">
        <v>86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t="s">
        <v>56</v>
      </c>
    </row>
    <row r="1732" spans="1:15" x14ac:dyDescent="0.35">
      <c r="A1732" t="s">
        <v>3194</v>
      </c>
      <c r="B1732" s="1">
        <v>45885</v>
      </c>
      <c r="C1732" t="s">
        <v>3195</v>
      </c>
      <c r="D1732" t="s">
        <v>49</v>
      </c>
      <c r="E1732" t="s">
        <v>135</v>
      </c>
      <c r="F1732" t="s">
        <v>26</v>
      </c>
      <c r="G1732" t="s">
        <v>69</v>
      </c>
      <c r="H1732" t="s">
        <v>70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t="s">
        <v>39</v>
      </c>
    </row>
    <row r="1733" spans="1:15" x14ac:dyDescent="0.35">
      <c r="A1733" t="s">
        <v>3196</v>
      </c>
      <c r="B1733" s="1">
        <v>45885</v>
      </c>
      <c r="C1733" t="s">
        <v>3053</v>
      </c>
      <c r="D1733" t="s">
        <v>17</v>
      </c>
      <c r="E1733" t="s">
        <v>135</v>
      </c>
      <c r="F1733" t="s">
        <v>26</v>
      </c>
      <c r="G1733" t="s">
        <v>20</v>
      </c>
      <c r="H1733" t="s">
        <v>122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t="s">
        <v>56</v>
      </c>
    </row>
    <row r="1734" spans="1:15" x14ac:dyDescent="0.35">
      <c r="A1734" t="s">
        <v>3197</v>
      </c>
      <c r="B1734" s="1">
        <v>45886</v>
      </c>
      <c r="C1734" t="s">
        <v>3198</v>
      </c>
      <c r="D1734" t="s">
        <v>17</v>
      </c>
      <c r="E1734" t="s">
        <v>148</v>
      </c>
      <c r="F1734" t="s">
        <v>60</v>
      </c>
      <c r="G1734" t="s">
        <v>42</v>
      </c>
      <c r="H1734" t="s">
        <v>118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t="s">
        <v>34</v>
      </c>
    </row>
    <row r="1735" spans="1:15" x14ac:dyDescent="0.35">
      <c r="A1735" t="s">
        <v>3199</v>
      </c>
      <c r="B1735" s="1">
        <v>45887</v>
      </c>
      <c r="C1735" t="s">
        <v>1313</v>
      </c>
      <c r="D1735" t="s">
        <v>17</v>
      </c>
      <c r="E1735" t="s">
        <v>31</v>
      </c>
      <c r="F1735" t="s">
        <v>19</v>
      </c>
      <c r="G1735" t="s">
        <v>32</v>
      </c>
      <c r="H1735" t="s">
        <v>101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t="s">
        <v>34</v>
      </c>
    </row>
    <row r="1736" spans="1:15" x14ac:dyDescent="0.35">
      <c r="A1736" t="s">
        <v>3200</v>
      </c>
      <c r="B1736" s="1">
        <v>45889</v>
      </c>
      <c r="C1736" t="s">
        <v>3201</v>
      </c>
      <c r="D1736" t="s">
        <v>17</v>
      </c>
      <c r="E1736" t="s">
        <v>76</v>
      </c>
      <c r="F1736" t="s">
        <v>26</v>
      </c>
      <c r="G1736" t="s">
        <v>69</v>
      </c>
      <c r="H1736" t="s">
        <v>305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t="s">
        <v>34</v>
      </c>
    </row>
    <row r="1737" spans="1:15" x14ac:dyDescent="0.35">
      <c r="A1737" t="s">
        <v>3202</v>
      </c>
      <c r="B1737" s="1">
        <v>45890</v>
      </c>
      <c r="C1737" t="s">
        <v>1657</v>
      </c>
      <c r="D1737" t="s">
        <v>17</v>
      </c>
      <c r="E1737" t="s">
        <v>76</v>
      </c>
      <c r="F1737" t="s">
        <v>26</v>
      </c>
      <c r="G1737" t="s">
        <v>20</v>
      </c>
      <c r="H1737" t="s">
        <v>264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t="s">
        <v>39</v>
      </c>
    </row>
    <row r="1738" spans="1:15" x14ac:dyDescent="0.35">
      <c r="A1738" t="s">
        <v>3203</v>
      </c>
      <c r="B1738" s="1">
        <v>45891</v>
      </c>
      <c r="C1738" t="s">
        <v>3204</v>
      </c>
      <c r="D1738" t="s">
        <v>30</v>
      </c>
      <c r="E1738" t="s">
        <v>129</v>
      </c>
      <c r="F1738" t="s">
        <v>19</v>
      </c>
      <c r="G1738" t="s">
        <v>32</v>
      </c>
      <c r="H1738" t="s">
        <v>149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t="s">
        <v>22</v>
      </c>
    </row>
    <row r="1739" spans="1:15" x14ac:dyDescent="0.35">
      <c r="A1739" t="s">
        <v>3205</v>
      </c>
      <c r="B1739" s="1">
        <v>45892</v>
      </c>
      <c r="C1739" t="s">
        <v>722</v>
      </c>
      <c r="D1739" t="s">
        <v>17</v>
      </c>
      <c r="E1739" t="s">
        <v>76</v>
      </c>
      <c r="F1739" t="s">
        <v>26</v>
      </c>
      <c r="G1739" t="s">
        <v>69</v>
      </c>
      <c r="H1739" t="s">
        <v>79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t="s">
        <v>34</v>
      </c>
    </row>
    <row r="1740" spans="1:15" x14ac:dyDescent="0.35">
      <c r="A1740" t="s">
        <v>3206</v>
      </c>
      <c r="B1740" s="1">
        <v>45893</v>
      </c>
      <c r="C1740" t="s">
        <v>3207</v>
      </c>
      <c r="D1740" t="s">
        <v>49</v>
      </c>
      <c r="E1740" t="s">
        <v>18</v>
      </c>
      <c r="F1740" t="s">
        <v>19</v>
      </c>
      <c r="G1740" t="s">
        <v>42</v>
      </c>
      <c r="H1740" t="s">
        <v>46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t="s">
        <v>56</v>
      </c>
    </row>
    <row r="1741" spans="1:15" x14ac:dyDescent="0.35">
      <c r="A1741" t="s">
        <v>3208</v>
      </c>
      <c r="B1741" s="1">
        <v>45893</v>
      </c>
      <c r="C1741" t="s">
        <v>3209</v>
      </c>
      <c r="D1741" t="s">
        <v>30</v>
      </c>
      <c r="E1741" t="s">
        <v>67</v>
      </c>
      <c r="F1741" t="s">
        <v>68</v>
      </c>
      <c r="G1741" t="s">
        <v>20</v>
      </c>
      <c r="H1741" t="s">
        <v>21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t="s">
        <v>56</v>
      </c>
    </row>
    <row r="1742" spans="1:15" x14ac:dyDescent="0.35">
      <c r="A1742" t="s">
        <v>3210</v>
      </c>
      <c r="B1742" s="1">
        <v>45894</v>
      </c>
      <c r="C1742" t="s">
        <v>485</v>
      </c>
      <c r="D1742" t="s">
        <v>17</v>
      </c>
      <c r="E1742" t="s">
        <v>135</v>
      </c>
      <c r="F1742" t="s">
        <v>26</v>
      </c>
      <c r="G1742" t="s">
        <v>20</v>
      </c>
      <c r="H1742" t="s">
        <v>21</v>
      </c>
      <c r="I1742">
        <v>13</v>
      </c>
      <c r="J1742">
        <v>161.29</v>
      </c>
      <c r="K1742">
        <v>20</v>
      </c>
      <c r="L1742">
        <v>1677.42</v>
      </c>
      <c r="M1742">
        <v>27.16</v>
      </c>
      <c r="N1742">
        <v>497.04</v>
      </c>
      <c r="O1742" t="s">
        <v>34</v>
      </c>
    </row>
    <row r="1743" spans="1:15" x14ac:dyDescent="0.35">
      <c r="A1743" t="s">
        <v>3211</v>
      </c>
      <c r="B1743" s="1">
        <v>45894</v>
      </c>
      <c r="C1743" t="s">
        <v>423</v>
      </c>
      <c r="D1743" t="s">
        <v>17</v>
      </c>
      <c r="E1743" t="s">
        <v>109</v>
      </c>
      <c r="F1743" t="s">
        <v>54</v>
      </c>
      <c r="G1743" t="s">
        <v>42</v>
      </c>
      <c r="H1743" t="s">
        <v>89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t="s">
        <v>39</v>
      </c>
    </row>
    <row r="1744" spans="1:15" x14ac:dyDescent="0.35">
      <c r="A1744" t="s">
        <v>3212</v>
      </c>
      <c r="B1744" s="1">
        <v>45895</v>
      </c>
      <c r="C1744" t="s">
        <v>3213</v>
      </c>
      <c r="D1744" t="s">
        <v>30</v>
      </c>
      <c r="E1744" t="s">
        <v>148</v>
      </c>
      <c r="F1744" t="s">
        <v>60</v>
      </c>
      <c r="G1744" t="s">
        <v>32</v>
      </c>
      <c r="H1744" t="s">
        <v>101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t="s">
        <v>34</v>
      </c>
    </row>
    <row r="1745" spans="1:15" x14ac:dyDescent="0.35">
      <c r="A1745" t="s">
        <v>3214</v>
      </c>
      <c r="B1745" s="1">
        <v>45896</v>
      </c>
      <c r="C1745" t="s">
        <v>134</v>
      </c>
      <c r="D1745" t="s">
        <v>30</v>
      </c>
      <c r="E1745" t="s">
        <v>25</v>
      </c>
      <c r="F1745" t="s">
        <v>26</v>
      </c>
      <c r="G1745" t="s">
        <v>20</v>
      </c>
      <c r="H1745" t="s">
        <v>27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t="s">
        <v>39</v>
      </c>
    </row>
    <row r="1746" spans="1:15" x14ac:dyDescent="0.35">
      <c r="A1746" t="s">
        <v>3215</v>
      </c>
      <c r="B1746" s="1">
        <v>45896</v>
      </c>
      <c r="C1746" t="s">
        <v>3216</v>
      </c>
      <c r="D1746" t="s">
        <v>49</v>
      </c>
      <c r="E1746" t="s">
        <v>37</v>
      </c>
      <c r="F1746" t="s">
        <v>26</v>
      </c>
      <c r="G1746" t="s">
        <v>20</v>
      </c>
      <c r="H1746" t="s">
        <v>27</v>
      </c>
      <c r="I1746">
        <v>9</v>
      </c>
      <c r="J1746">
        <v>162.84</v>
      </c>
      <c r="K1746">
        <v>10</v>
      </c>
      <c r="L1746">
        <v>1319</v>
      </c>
      <c r="M1746">
        <v>16.36</v>
      </c>
      <c r="N1746">
        <v>496.58</v>
      </c>
      <c r="O1746" t="s">
        <v>39</v>
      </c>
    </row>
    <row r="1747" spans="1:15" x14ac:dyDescent="0.35">
      <c r="A1747" t="s">
        <v>3217</v>
      </c>
      <c r="B1747" s="1">
        <v>45897</v>
      </c>
      <c r="C1747" t="s">
        <v>3218</v>
      </c>
      <c r="D1747" t="s">
        <v>49</v>
      </c>
      <c r="E1747" t="s">
        <v>76</v>
      </c>
      <c r="F1747" t="s">
        <v>26</v>
      </c>
      <c r="G1747" t="s">
        <v>20</v>
      </c>
      <c r="H1747" t="s">
        <v>27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t="s">
        <v>22</v>
      </c>
    </row>
    <row r="1748" spans="1:15" x14ac:dyDescent="0.35">
      <c r="A1748" t="s">
        <v>3219</v>
      </c>
      <c r="B1748" s="1">
        <v>45897</v>
      </c>
      <c r="C1748" t="s">
        <v>2859</v>
      </c>
      <c r="D1748" t="s">
        <v>30</v>
      </c>
      <c r="E1748" t="s">
        <v>92</v>
      </c>
      <c r="F1748" t="s">
        <v>60</v>
      </c>
      <c r="G1748" t="s">
        <v>20</v>
      </c>
      <c r="H1748" t="s">
        <v>106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t="s">
        <v>22</v>
      </c>
    </row>
    <row r="1749" spans="1:15" x14ac:dyDescent="0.35">
      <c r="A1749" t="s">
        <v>3220</v>
      </c>
      <c r="B1749" s="1">
        <v>45897</v>
      </c>
      <c r="C1749" t="s">
        <v>3221</v>
      </c>
      <c r="D1749" t="s">
        <v>17</v>
      </c>
      <c r="E1749" t="s">
        <v>18</v>
      </c>
      <c r="F1749" t="s">
        <v>19</v>
      </c>
      <c r="G1749" t="s">
        <v>69</v>
      </c>
      <c r="H1749" t="s">
        <v>70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t="s">
        <v>34</v>
      </c>
    </row>
    <row r="1750" spans="1:15" x14ac:dyDescent="0.35">
      <c r="A1750" t="s">
        <v>3222</v>
      </c>
      <c r="B1750" s="1">
        <v>45898</v>
      </c>
      <c r="C1750" t="s">
        <v>2090</v>
      </c>
      <c r="D1750" t="s">
        <v>30</v>
      </c>
      <c r="E1750" t="s">
        <v>18</v>
      </c>
      <c r="F1750" t="s">
        <v>19</v>
      </c>
      <c r="G1750" t="s">
        <v>42</v>
      </c>
      <c r="H1750" t="s">
        <v>46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t="s">
        <v>39</v>
      </c>
    </row>
    <row r="1751" spans="1:15" x14ac:dyDescent="0.35">
      <c r="A1751" t="s">
        <v>3223</v>
      </c>
      <c r="B1751" s="1">
        <v>45898</v>
      </c>
      <c r="C1751" t="s">
        <v>3224</v>
      </c>
      <c r="D1751" t="s">
        <v>30</v>
      </c>
      <c r="E1751" t="s">
        <v>76</v>
      </c>
      <c r="F1751" t="s">
        <v>26</v>
      </c>
      <c r="G1751" t="s">
        <v>69</v>
      </c>
      <c r="H1751" t="s">
        <v>305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t="s">
        <v>34</v>
      </c>
    </row>
    <row r="1752" spans="1:15" x14ac:dyDescent="0.35">
      <c r="A1752" t="s">
        <v>3225</v>
      </c>
      <c r="B1752" s="1">
        <v>45899</v>
      </c>
      <c r="C1752" t="s">
        <v>3226</v>
      </c>
      <c r="D1752" t="s">
        <v>49</v>
      </c>
      <c r="E1752" t="s">
        <v>135</v>
      </c>
      <c r="F1752" t="s">
        <v>26</v>
      </c>
      <c r="G1752" t="s">
        <v>42</v>
      </c>
      <c r="H1752" t="s">
        <v>371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t="s">
        <v>34</v>
      </c>
    </row>
    <row r="1753" spans="1:15" x14ac:dyDescent="0.35">
      <c r="A1753" t="s">
        <v>3227</v>
      </c>
      <c r="B1753" s="1">
        <v>45900</v>
      </c>
      <c r="C1753" t="s">
        <v>3228</v>
      </c>
      <c r="D1753" t="s">
        <v>49</v>
      </c>
      <c r="E1753" t="s">
        <v>18</v>
      </c>
      <c r="F1753" t="s">
        <v>19</v>
      </c>
      <c r="G1753" t="s">
        <v>42</v>
      </c>
      <c r="H1753" t="s">
        <v>118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t="s">
        <v>34</v>
      </c>
    </row>
    <row r="1754" spans="1:15" x14ac:dyDescent="0.35">
      <c r="A1754" t="s">
        <v>3229</v>
      </c>
      <c r="B1754" s="1">
        <v>45901</v>
      </c>
      <c r="C1754" t="s">
        <v>3230</v>
      </c>
      <c r="D1754" t="s">
        <v>30</v>
      </c>
      <c r="E1754" t="s">
        <v>248</v>
      </c>
      <c r="F1754" t="s">
        <v>26</v>
      </c>
      <c r="G1754" t="s">
        <v>69</v>
      </c>
      <c r="H1754" t="s">
        <v>163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t="s">
        <v>39</v>
      </c>
    </row>
    <row r="1755" spans="1:15" x14ac:dyDescent="0.35">
      <c r="A1755" t="s">
        <v>3231</v>
      </c>
      <c r="B1755" s="1">
        <v>45902</v>
      </c>
      <c r="C1755" t="s">
        <v>3232</v>
      </c>
      <c r="D1755" t="s">
        <v>30</v>
      </c>
      <c r="E1755" t="s">
        <v>248</v>
      </c>
      <c r="F1755" t="s">
        <v>26</v>
      </c>
      <c r="G1755" t="s">
        <v>42</v>
      </c>
      <c r="H1755" t="s">
        <v>118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t="s">
        <v>39</v>
      </c>
    </row>
    <row r="1756" spans="1:15" x14ac:dyDescent="0.35">
      <c r="A1756" t="s">
        <v>3233</v>
      </c>
      <c r="B1756" s="1">
        <v>45902</v>
      </c>
      <c r="C1756" t="s">
        <v>3234</v>
      </c>
      <c r="D1756" t="s">
        <v>17</v>
      </c>
      <c r="E1756" t="s">
        <v>59</v>
      </c>
      <c r="F1756" t="s">
        <v>60</v>
      </c>
      <c r="G1756" t="s">
        <v>42</v>
      </c>
      <c r="H1756" t="s">
        <v>234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t="s">
        <v>34</v>
      </c>
    </row>
    <row r="1757" spans="1:15" x14ac:dyDescent="0.35">
      <c r="A1757" t="s">
        <v>3235</v>
      </c>
      <c r="B1757" s="1">
        <v>45902</v>
      </c>
      <c r="C1757" t="s">
        <v>921</v>
      </c>
      <c r="D1757" t="s">
        <v>30</v>
      </c>
      <c r="E1757" t="s">
        <v>37</v>
      </c>
      <c r="F1757" t="s">
        <v>26</v>
      </c>
      <c r="G1757" t="s">
        <v>42</v>
      </c>
      <c r="H1757" t="s">
        <v>46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t="s">
        <v>39</v>
      </c>
    </row>
    <row r="1758" spans="1:15" x14ac:dyDescent="0.35">
      <c r="A1758" t="s">
        <v>3236</v>
      </c>
      <c r="B1758" s="1">
        <v>45902</v>
      </c>
      <c r="C1758" t="s">
        <v>3237</v>
      </c>
      <c r="D1758" t="s">
        <v>17</v>
      </c>
      <c r="E1758" t="s">
        <v>63</v>
      </c>
      <c r="F1758" t="s">
        <v>54</v>
      </c>
      <c r="G1758" t="s">
        <v>32</v>
      </c>
      <c r="H1758" t="s">
        <v>132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t="s">
        <v>34</v>
      </c>
    </row>
    <row r="1759" spans="1:15" x14ac:dyDescent="0.35">
      <c r="A1759" t="s">
        <v>3238</v>
      </c>
      <c r="B1759" s="1">
        <v>45903</v>
      </c>
      <c r="C1759" t="s">
        <v>2198</v>
      </c>
      <c r="D1759" t="s">
        <v>30</v>
      </c>
      <c r="E1759" t="s">
        <v>166</v>
      </c>
      <c r="F1759" t="s">
        <v>60</v>
      </c>
      <c r="G1759" t="s">
        <v>69</v>
      </c>
      <c r="H1759" t="s">
        <v>243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t="s">
        <v>34</v>
      </c>
    </row>
    <row r="1760" spans="1:15" x14ac:dyDescent="0.35">
      <c r="A1760" t="s">
        <v>3239</v>
      </c>
      <c r="B1760" s="1">
        <v>45903</v>
      </c>
      <c r="C1760" t="s">
        <v>3240</v>
      </c>
      <c r="D1760" t="s">
        <v>17</v>
      </c>
      <c r="E1760" t="s">
        <v>18</v>
      </c>
      <c r="F1760" t="s">
        <v>19</v>
      </c>
      <c r="G1760" t="s">
        <v>20</v>
      </c>
      <c r="H1760" t="s">
        <v>106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t="s">
        <v>56</v>
      </c>
    </row>
    <row r="1761" spans="1:15" x14ac:dyDescent="0.35">
      <c r="A1761" t="s">
        <v>3241</v>
      </c>
      <c r="B1761" s="1">
        <v>45905</v>
      </c>
      <c r="C1761" t="s">
        <v>3242</v>
      </c>
      <c r="D1761" t="s">
        <v>30</v>
      </c>
      <c r="E1761" t="s">
        <v>25</v>
      </c>
      <c r="F1761" t="s">
        <v>26</v>
      </c>
      <c r="G1761" t="s">
        <v>32</v>
      </c>
      <c r="H1761" t="s">
        <v>73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t="s">
        <v>34</v>
      </c>
    </row>
    <row r="1762" spans="1:15" x14ac:dyDescent="0.35">
      <c r="A1762" t="s">
        <v>3243</v>
      </c>
      <c r="B1762" s="1">
        <v>45905</v>
      </c>
      <c r="C1762" t="s">
        <v>383</v>
      </c>
      <c r="D1762" t="s">
        <v>17</v>
      </c>
      <c r="E1762" t="s">
        <v>109</v>
      </c>
      <c r="F1762" t="s">
        <v>54</v>
      </c>
      <c r="G1762" t="s">
        <v>42</v>
      </c>
      <c r="H1762" t="s">
        <v>43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t="s">
        <v>34</v>
      </c>
    </row>
    <row r="1763" spans="1:15" x14ac:dyDescent="0.35">
      <c r="A1763" t="s">
        <v>3244</v>
      </c>
      <c r="B1763" s="1">
        <v>45906</v>
      </c>
      <c r="C1763" t="s">
        <v>3245</v>
      </c>
      <c r="D1763" t="s">
        <v>30</v>
      </c>
      <c r="E1763" t="s">
        <v>25</v>
      </c>
      <c r="F1763" t="s">
        <v>26</v>
      </c>
      <c r="G1763" t="s">
        <v>32</v>
      </c>
      <c r="H1763" t="s">
        <v>132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t="s">
        <v>34</v>
      </c>
    </row>
    <row r="1764" spans="1:15" x14ac:dyDescent="0.35">
      <c r="A1764" t="s">
        <v>3246</v>
      </c>
      <c r="B1764" s="1">
        <v>45907</v>
      </c>
      <c r="C1764" t="s">
        <v>2162</v>
      </c>
      <c r="D1764" t="s">
        <v>49</v>
      </c>
      <c r="E1764" t="s">
        <v>92</v>
      </c>
      <c r="F1764" t="s">
        <v>60</v>
      </c>
      <c r="G1764" t="s">
        <v>42</v>
      </c>
      <c r="H1764" t="s">
        <v>46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t="s">
        <v>34</v>
      </c>
    </row>
    <row r="1765" spans="1:15" x14ac:dyDescent="0.35">
      <c r="A1765" t="s">
        <v>3247</v>
      </c>
      <c r="B1765" s="1">
        <v>45907</v>
      </c>
      <c r="C1765" t="s">
        <v>3248</v>
      </c>
      <c r="D1765" t="s">
        <v>30</v>
      </c>
      <c r="E1765" t="s">
        <v>92</v>
      </c>
      <c r="F1765" t="s">
        <v>60</v>
      </c>
      <c r="G1765" t="s">
        <v>20</v>
      </c>
      <c r="H1765" t="s">
        <v>170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t="s">
        <v>34</v>
      </c>
    </row>
    <row r="1766" spans="1:15" x14ac:dyDescent="0.35">
      <c r="A1766" t="s">
        <v>3249</v>
      </c>
      <c r="B1766" s="1">
        <v>45908</v>
      </c>
      <c r="C1766" t="s">
        <v>3250</v>
      </c>
      <c r="D1766" t="s">
        <v>30</v>
      </c>
      <c r="E1766" t="s">
        <v>63</v>
      </c>
      <c r="F1766" t="s">
        <v>54</v>
      </c>
      <c r="G1766" t="s">
        <v>20</v>
      </c>
      <c r="H1766" t="s">
        <v>38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t="s">
        <v>56</v>
      </c>
    </row>
    <row r="1767" spans="1:15" x14ac:dyDescent="0.35">
      <c r="A1767" t="s">
        <v>3251</v>
      </c>
      <c r="B1767" s="1">
        <v>45908</v>
      </c>
      <c r="C1767" t="s">
        <v>1924</v>
      </c>
      <c r="D1767" t="s">
        <v>30</v>
      </c>
      <c r="E1767" t="s">
        <v>169</v>
      </c>
      <c r="F1767" t="s">
        <v>68</v>
      </c>
      <c r="G1767" t="s">
        <v>42</v>
      </c>
      <c r="H1767" t="s">
        <v>294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t="s">
        <v>39</v>
      </c>
    </row>
    <row r="1768" spans="1:15" x14ac:dyDescent="0.35">
      <c r="A1768" t="s">
        <v>3252</v>
      </c>
      <c r="B1768" s="1">
        <v>45908</v>
      </c>
      <c r="C1768" t="s">
        <v>3253</v>
      </c>
      <c r="D1768" t="s">
        <v>30</v>
      </c>
      <c r="E1768" t="s">
        <v>25</v>
      </c>
      <c r="F1768" t="s">
        <v>26</v>
      </c>
      <c r="G1768" t="s">
        <v>20</v>
      </c>
      <c r="H1768" t="s">
        <v>122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t="s">
        <v>34</v>
      </c>
    </row>
    <row r="1769" spans="1:15" x14ac:dyDescent="0.35">
      <c r="A1769" t="s">
        <v>3254</v>
      </c>
      <c r="B1769" s="1">
        <v>45909</v>
      </c>
      <c r="C1769" t="s">
        <v>1690</v>
      </c>
      <c r="D1769" t="s">
        <v>30</v>
      </c>
      <c r="E1769" t="s">
        <v>166</v>
      </c>
      <c r="F1769" t="s">
        <v>60</v>
      </c>
      <c r="G1769" t="s">
        <v>42</v>
      </c>
      <c r="H1769" t="s">
        <v>234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t="s">
        <v>34</v>
      </c>
    </row>
    <row r="1770" spans="1:15" x14ac:dyDescent="0.35">
      <c r="A1770" t="s">
        <v>3255</v>
      </c>
      <c r="B1770" s="1">
        <v>45909</v>
      </c>
      <c r="C1770" t="s">
        <v>3256</v>
      </c>
      <c r="D1770" t="s">
        <v>17</v>
      </c>
      <c r="E1770" t="s">
        <v>76</v>
      </c>
      <c r="F1770" t="s">
        <v>26</v>
      </c>
      <c r="G1770" t="s">
        <v>20</v>
      </c>
      <c r="H1770" t="s">
        <v>55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t="s">
        <v>39</v>
      </c>
    </row>
    <row r="1771" spans="1:15" x14ac:dyDescent="0.35">
      <c r="A1771" t="s">
        <v>3257</v>
      </c>
      <c r="B1771" s="1">
        <v>45909</v>
      </c>
      <c r="C1771" t="s">
        <v>500</v>
      </c>
      <c r="D1771" t="s">
        <v>30</v>
      </c>
      <c r="E1771" t="s">
        <v>166</v>
      </c>
      <c r="F1771" t="s">
        <v>60</v>
      </c>
      <c r="G1771" t="s">
        <v>42</v>
      </c>
      <c r="H1771" t="s">
        <v>93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t="s">
        <v>56</v>
      </c>
    </row>
    <row r="1772" spans="1:15" x14ac:dyDescent="0.35">
      <c r="A1772" t="s">
        <v>3258</v>
      </c>
      <c r="B1772" s="1">
        <v>45911</v>
      </c>
      <c r="C1772" t="s">
        <v>3259</v>
      </c>
      <c r="D1772" t="s">
        <v>17</v>
      </c>
      <c r="E1772" t="s">
        <v>109</v>
      </c>
      <c r="F1772" t="s">
        <v>54</v>
      </c>
      <c r="G1772" t="s">
        <v>69</v>
      </c>
      <c r="H1772" t="s">
        <v>196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t="s">
        <v>34</v>
      </c>
    </row>
    <row r="1773" spans="1:15" x14ac:dyDescent="0.35">
      <c r="A1773" t="s">
        <v>3260</v>
      </c>
      <c r="B1773" s="1">
        <v>45911</v>
      </c>
      <c r="C1773" t="s">
        <v>3261</v>
      </c>
      <c r="D1773" t="s">
        <v>30</v>
      </c>
      <c r="E1773" t="s">
        <v>37</v>
      </c>
      <c r="F1773" t="s">
        <v>26</v>
      </c>
      <c r="G1773" t="s">
        <v>20</v>
      </c>
      <c r="H1773" t="s">
        <v>170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t="s">
        <v>22</v>
      </c>
    </row>
    <row r="1774" spans="1:15" x14ac:dyDescent="0.35">
      <c r="A1774" t="s">
        <v>3262</v>
      </c>
      <c r="B1774" s="1">
        <v>45914</v>
      </c>
      <c r="C1774" t="s">
        <v>2208</v>
      </c>
      <c r="D1774" t="s">
        <v>30</v>
      </c>
      <c r="E1774" t="s">
        <v>121</v>
      </c>
      <c r="F1774" t="s">
        <v>68</v>
      </c>
      <c r="G1774" t="s">
        <v>32</v>
      </c>
      <c r="H1774" t="s">
        <v>110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t="s">
        <v>56</v>
      </c>
    </row>
    <row r="1775" spans="1:15" x14ac:dyDescent="0.35">
      <c r="A1775" t="s">
        <v>3263</v>
      </c>
      <c r="B1775" s="1">
        <v>45915</v>
      </c>
      <c r="C1775" t="s">
        <v>3264</v>
      </c>
      <c r="D1775" t="s">
        <v>30</v>
      </c>
      <c r="E1775" t="s">
        <v>85</v>
      </c>
      <c r="F1775" t="s">
        <v>60</v>
      </c>
      <c r="G1775" t="s">
        <v>20</v>
      </c>
      <c r="H1775" t="s">
        <v>27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t="s">
        <v>39</v>
      </c>
    </row>
    <row r="1776" spans="1:15" x14ac:dyDescent="0.35">
      <c r="A1776" t="s">
        <v>3265</v>
      </c>
      <c r="B1776" s="1">
        <v>45915</v>
      </c>
      <c r="C1776" t="s">
        <v>1687</v>
      </c>
      <c r="D1776" t="s">
        <v>17</v>
      </c>
      <c r="E1776" t="s">
        <v>25</v>
      </c>
      <c r="F1776" t="s">
        <v>26</v>
      </c>
      <c r="G1776" t="s">
        <v>32</v>
      </c>
      <c r="H1776" t="s">
        <v>73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t="s">
        <v>34</v>
      </c>
    </row>
    <row r="1777" spans="1:15" x14ac:dyDescent="0.35">
      <c r="A1777" t="s">
        <v>3266</v>
      </c>
      <c r="B1777" s="1">
        <v>45915</v>
      </c>
      <c r="C1777" t="s">
        <v>3267</v>
      </c>
      <c r="D1777" t="s">
        <v>49</v>
      </c>
      <c r="E1777" t="s">
        <v>166</v>
      </c>
      <c r="F1777" t="s">
        <v>60</v>
      </c>
      <c r="G1777" t="s">
        <v>32</v>
      </c>
      <c r="H1777" t="s">
        <v>110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t="s">
        <v>22</v>
      </c>
    </row>
    <row r="1778" spans="1:15" x14ac:dyDescent="0.35">
      <c r="A1778" t="s">
        <v>3268</v>
      </c>
      <c r="B1778" s="1">
        <v>45916</v>
      </c>
      <c r="C1778" t="s">
        <v>1729</v>
      </c>
      <c r="D1778" t="s">
        <v>49</v>
      </c>
      <c r="E1778" t="s">
        <v>248</v>
      </c>
      <c r="F1778" t="s">
        <v>26</v>
      </c>
      <c r="G1778" t="s">
        <v>20</v>
      </c>
      <c r="H1778" t="s">
        <v>106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t="s">
        <v>39</v>
      </c>
    </row>
    <row r="1779" spans="1:15" x14ac:dyDescent="0.35">
      <c r="A1779" t="s">
        <v>3269</v>
      </c>
      <c r="B1779" s="1">
        <v>45916</v>
      </c>
      <c r="C1779" t="s">
        <v>3118</v>
      </c>
      <c r="D1779" t="s">
        <v>17</v>
      </c>
      <c r="E1779" t="s">
        <v>63</v>
      </c>
      <c r="F1779" t="s">
        <v>54</v>
      </c>
      <c r="G1779" t="s">
        <v>69</v>
      </c>
      <c r="H1779" t="s">
        <v>163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t="s">
        <v>34</v>
      </c>
    </row>
    <row r="1780" spans="1:15" x14ac:dyDescent="0.35">
      <c r="A1780" t="s">
        <v>3270</v>
      </c>
      <c r="B1780" s="1">
        <v>45916</v>
      </c>
      <c r="C1780" t="s">
        <v>3271</v>
      </c>
      <c r="D1780" t="s">
        <v>17</v>
      </c>
      <c r="E1780" t="s">
        <v>129</v>
      </c>
      <c r="F1780" t="s">
        <v>19</v>
      </c>
      <c r="G1780" t="s">
        <v>69</v>
      </c>
      <c r="H1780" t="s">
        <v>243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t="s">
        <v>39</v>
      </c>
    </row>
    <row r="1781" spans="1:15" x14ac:dyDescent="0.35">
      <c r="A1781" t="s">
        <v>3272</v>
      </c>
      <c r="B1781" s="1">
        <v>45916</v>
      </c>
      <c r="C1781" t="s">
        <v>3273</v>
      </c>
      <c r="D1781" t="s">
        <v>49</v>
      </c>
      <c r="E1781" t="s">
        <v>129</v>
      </c>
      <c r="F1781" t="s">
        <v>19</v>
      </c>
      <c r="G1781" t="s">
        <v>42</v>
      </c>
      <c r="H1781" t="s">
        <v>43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t="s">
        <v>34</v>
      </c>
    </row>
    <row r="1782" spans="1:15" x14ac:dyDescent="0.35">
      <c r="A1782" t="s">
        <v>3274</v>
      </c>
      <c r="B1782" s="1">
        <v>45916</v>
      </c>
      <c r="C1782" t="s">
        <v>3275</v>
      </c>
      <c r="D1782" t="s">
        <v>30</v>
      </c>
      <c r="E1782" t="s">
        <v>148</v>
      </c>
      <c r="F1782" t="s">
        <v>60</v>
      </c>
      <c r="G1782" t="s">
        <v>69</v>
      </c>
      <c r="H1782" t="s">
        <v>86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t="s">
        <v>39</v>
      </c>
    </row>
    <row r="1783" spans="1:15" x14ac:dyDescent="0.35">
      <c r="A1783" t="s">
        <v>3276</v>
      </c>
      <c r="B1783" s="1">
        <v>45916</v>
      </c>
      <c r="C1783" t="s">
        <v>3277</v>
      </c>
      <c r="D1783" t="s">
        <v>30</v>
      </c>
      <c r="E1783" t="s">
        <v>25</v>
      </c>
      <c r="F1783" t="s">
        <v>26</v>
      </c>
      <c r="G1783" t="s">
        <v>20</v>
      </c>
      <c r="H1783" t="s">
        <v>199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t="s">
        <v>39</v>
      </c>
    </row>
    <row r="1784" spans="1:15" x14ac:dyDescent="0.35">
      <c r="A1784" t="s">
        <v>3278</v>
      </c>
      <c r="B1784" s="1">
        <v>45917</v>
      </c>
      <c r="C1784" t="s">
        <v>16</v>
      </c>
      <c r="D1784" t="s">
        <v>30</v>
      </c>
      <c r="E1784" t="s">
        <v>248</v>
      </c>
      <c r="F1784" t="s">
        <v>26</v>
      </c>
      <c r="G1784" t="s">
        <v>42</v>
      </c>
      <c r="H1784" t="s">
        <v>64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t="s">
        <v>22</v>
      </c>
    </row>
    <row r="1785" spans="1:15" x14ac:dyDescent="0.35">
      <c r="A1785" t="s">
        <v>3279</v>
      </c>
      <c r="B1785" s="1">
        <v>45919</v>
      </c>
      <c r="C1785" t="s">
        <v>3280</v>
      </c>
      <c r="D1785" t="s">
        <v>17</v>
      </c>
      <c r="E1785" t="s">
        <v>25</v>
      </c>
      <c r="F1785" t="s">
        <v>26</v>
      </c>
      <c r="G1785" t="s">
        <v>42</v>
      </c>
      <c r="H1785" t="s">
        <v>64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t="s">
        <v>34</v>
      </c>
    </row>
    <row r="1786" spans="1:15" x14ac:dyDescent="0.35">
      <c r="A1786" t="s">
        <v>3281</v>
      </c>
      <c r="B1786" s="1">
        <v>45919</v>
      </c>
      <c r="C1786" t="s">
        <v>3282</v>
      </c>
      <c r="D1786" t="s">
        <v>49</v>
      </c>
      <c r="E1786" t="s">
        <v>129</v>
      </c>
      <c r="F1786" t="s">
        <v>19</v>
      </c>
      <c r="G1786" t="s">
        <v>69</v>
      </c>
      <c r="H1786" t="s">
        <v>196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t="s">
        <v>56</v>
      </c>
    </row>
    <row r="1787" spans="1:15" x14ac:dyDescent="0.35">
      <c r="A1787" t="s">
        <v>3283</v>
      </c>
      <c r="B1787" s="1">
        <v>45919</v>
      </c>
      <c r="C1787" t="s">
        <v>3284</v>
      </c>
      <c r="D1787" t="s">
        <v>30</v>
      </c>
      <c r="E1787" t="s">
        <v>92</v>
      </c>
      <c r="F1787" t="s">
        <v>60</v>
      </c>
      <c r="G1787" t="s">
        <v>42</v>
      </c>
      <c r="H1787" t="s">
        <v>46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t="s">
        <v>39</v>
      </c>
    </row>
    <row r="1788" spans="1:15" x14ac:dyDescent="0.35">
      <c r="A1788" t="s">
        <v>3285</v>
      </c>
      <c r="B1788" s="1">
        <v>45919</v>
      </c>
      <c r="C1788" t="s">
        <v>3286</v>
      </c>
      <c r="D1788" t="s">
        <v>49</v>
      </c>
      <c r="E1788" t="s">
        <v>37</v>
      </c>
      <c r="F1788" t="s">
        <v>26</v>
      </c>
      <c r="G1788" t="s">
        <v>42</v>
      </c>
      <c r="H1788" t="s">
        <v>43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t="s">
        <v>56</v>
      </c>
    </row>
    <row r="1789" spans="1:15" x14ac:dyDescent="0.35">
      <c r="A1789" t="s">
        <v>3287</v>
      </c>
      <c r="B1789" s="1">
        <v>45919</v>
      </c>
      <c r="C1789" t="s">
        <v>3288</v>
      </c>
      <c r="D1789" t="s">
        <v>49</v>
      </c>
      <c r="E1789" t="s">
        <v>67</v>
      </c>
      <c r="F1789" t="s">
        <v>68</v>
      </c>
      <c r="G1789" t="s">
        <v>32</v>
      </c>
      <c r="H1789" t="s">
        <v>82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t="s">
        <v>39</v>
      </c>
    </row>
    <row r="1790" spans="1:15" x14ac:dyDescent="0.35">
      <c r="A1790" t="s">
        <v>3289</v>
      </c>
      <c r="B1790" s="1">
        <v>45920</v>
      </c>
      <c r="C1790" t="s">
        <v>2666</v>
      </c>
      <c r="D1790" t="s">
        <v>30</v>
      </c>
      <c r="E1790" t="s">
        <v>25</v>
      </c>
      <c r="F1790" t="s">
        <v>26</v>
      </c>
      <c r="G1790" t="s">
        <v>42</v>
      </c>
      <c r="H1790" t="s">
        <v>43</v>
      </c>
      <c r="I1790">
        <v>7</v>
      </c>
      <c r="J1790">
        <v>311.45999999999998</v>
      </c>
      <c r="K1790">
        <v>0</v>
      </c>
      <c r="L1790">
        <v>2180.2199999999998</v>
      </c>
      <c r="M1790">
        <v>11.81</v>
      </c>
      <c r="N1790">
        <v>860.28</v>
      </c>
      <c r="O1790" t="s">
        <v>22</v>
      </c>
    </row>
    <row r="1791" spans="1:15" x14ac:dyDescent="0.35">
      <c r="A1791" t="s">
        <v>3290</v>
      </c>
      <c r="B1791" s="1">
        <v>45922</v>
      </c>
      <c r="C1791" t="s">
        <v>3291</v>
      </c>
      <c r="D1791" t="s">
        <v>17</v>
      </c>
      <c r="E1791" t="s">
        <v>121</v>
      </c>
      <c r="F1791" t="s">
        <v>68</v>
      </c>
      <c r="G1791" t="s">
        <v>42</v>
      </c>
      <c r="H1791" t="s">
        <v>255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t="s">
        <v>34</v>
      </c>
    </row>
    <row r="1792" spans="1:15" x14ac:dyDescent="0.35">
      <c r="A1792" t="s">
        <v>3292</v>
      </c>
      <c r="B1792" s="1">
        <v>45922</v>
      </c>
      <c r="C1792" t="s">
        <v>3293</v>
      </c>
      <c r="D1792" t="s">
        <v>17</v>
      </c>
      <c r="E1792" t="s">
        <v>129</v>
      </c>
      <c r="F1792" t="s">
        <v>19</v>
      </c>
      <c r="G1792" t="s">
        <v>69</v>
      </c>
      <c r="H1792" t="s">
        <v>70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t="s">
        <v>22</v>
      </c>
    </row>
    <row r="1793" spans="1:15" x14ac:dyDescent="0.35">
      <c r="A1793" t="s">
        <v>3294</v>
      </c>
      <c r="B1793" s="1">
        <v>45923</v>
      </c>
      <c r="C1793" t="s">
        <v>3295</v>
      </c>
      <c r="D1793" t="s">
        <v>30</v>
      </c>
      <c r="E1793" t="s">
        <v>148</v>
      </c>
      <c r="F1793" t="s">
        <v>60</v>
      </c>
      <c r="G1793" t="s">
        <v>42</v>
      </c>
      <c r="H1793" t="s">
        <v>64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t="s">
        <v>34</v>
      </c>
    </row>
    <row r="1794" spans="1:15" x14ac:dyDescent="0.35">
      <c r="A1794" t="s">
        <v>3296</v>
      </c>
      <c r="B1794" s="1">
        <v>45923</v>
      </c>
      <c r="C1794" t="s">
        <v>2559</v>
      </c>
      <c r="D1794" t="s">
        <v>30</v>
      </c>
      <c r="E1794" t="s">
        <v>37</v>
      </c>
      <c r="F1794" t="s">
        <v>26</v>
      </c>
      <c r="G1794" t="s">
        <v>32</v>
      </c>
      <c r="H1794" t="s">
        <v>82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t="s">
        <v>22</v>
      </c>
    </row>
    <row r="1795" spans="1:15" x14ac:dyDescent="0.35">
      <c r="A1795" t="s">
        <v>3297</v>
      </c>
      <c r="B1795" s="1">
        <v>45923</v>
      </c>
      <c r="C1795" t="s">
        <v>3298</v>
      </c>
      <c r="D1795" t="s">
        <v>49</v>
      </c>
      <c r="E1795" t="s">
        <v>18</v>
      </c>
      <c r="F1795" t="s">
        <v>19</v>
      </c>
      <c r="G1795" t="s">
        <v>42</v>
      </c>
      <c r="H1795" t="s">
        <v>294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t="s">
        <v>34</v>
      </c>
    </row>
    <row r="1796" spans="1:15" x14ac:dyDescent="0.35">
      <c r="A1796" t="s">
        <v>3299</v>
      </c>
      <c r="B1796" s="1">
        <v>45924</v>
      </c>
      <c r="C1796" t="s">
        <v>3300</v>
      </c>
      <c r="D1796" t="s">
        <v>30</v>
      </c>
      <c r="E1796" t="s">
        <v>248</v>
      </c>
      <c r="F1796" t="s">
        <v>26</v>
      </c>
      <c r="G1796" t="s">
        <v>32</v>
      </c>
      <c r="H1796" t="s">
        <v>115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t="s">
        <v>22</v>
      </c>
    </row>
    <row r="1797" spans="1:15" x14ac:dyDescent="0.35">
      <c r="A1797" t="s">
        <v>3301</v>
      </c>
      <c r="B1797" s="1">
        <v>45924</v>
      </c>
      <c r="C1797" t="s">
        <v>401</v>
      </c>
      <c r="D1797" t="s">
        <v>30</v>
      </c>
      <c r="E1797" t="s">
        <v>138</v>
      </c>
      <c r="F1797" t="s">
        <v>54</v>
      </c>
      <c r="G1797" t="s">
        <v>32</v>
      </c>
      <c r="H1797" t="s">
        <v>132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t="s">
        <v>39</v>
      </c>
    </row>
    <row r="1798" spans="1:15" x14ac:dyDescent="0.35">
      <c r="A1798" t="s">
        <v>3302</v>
      </c>
      <c r="B1798" s="1">
        <v>45925</v>
      </c>
      <c r="C1798" t="s">
        <v>3303</v>
      </c>
      <c r="D1798" t="s">
        <v>30</v>
      </c>
      <c r="E1798" t="s">
        <v>85</v>
      </c>
      <c r="F1798" t="s">
        <v>60</v>
      </c>
      <c r="G1798" t="s">
        <v>42</v>
      </c>
      <c r="H1798" t="s">
        <v>46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t="s">
        <v>56</v>
      </c>
    </row>
    <row r="1799" spans="1:15" x14ac:dyDescent="0.35">
      <c r="A1799" t="s">
        <v>3304</v>
      </c>
      <c r="B1799" s="1">
        <v>45925</v>
      </c>
      <c r="C1799" t="s">
        <v>3305</v>
      </c>
      <c r="D1799" t="s">
        <v>30</v>
      </c>
      <c r="E1799" t="s">
        <v>37</v>
      </c>
      <c r="F1799" t="s">
        <v>26</v>
      </c>
      <c r="G1799" t="s">
        <v>32</v>
      </c>
      <c r="H1799" t="s">
        <v>132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t="s">
        <v>39</v>
      </c>
    </row>
    <row r="1800" spans="1:15" x14ac:dyDescent="0.35">
      <c r="A1800" t="s">
        <v>3306</v>
      </c>
      <c r="B1800" s="1">
        <v>45925</v>
      </c>
      <c r="C1800" t="s">
        <v>3307</v>
      </c>
      <c r="D1800" t="s">
        <v>49</v>
      </c>
      <c r="E1800" t="s">
        <v>129</v>
      </c>
      <c r="F1800" t="s">
        <v>19</v>
      </c>
      <c r="G1800" t="s">
        <v>32</v>
      </c>
      <c r="H1800" t="s">
        <v>348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t="s">
        <v>34</v>
      </c>
    </row>
    <row r="1801" spans="1:15" x14ac:dyDescent="0.35">
      <c r="A1801" t="s">
        <v>3308</v>
      </c>
      <c r="B1801" s="1">
        <v>45925</v>
      </c>
      <c r="C1801" t="s">
        <v>3309</v>
      </c>
      <c r="D1801" t="s">
        <v>17</v>
      </c>
      <c r="E1801" t="s">
        <v>135</v>
      </c>
      <c r="F1801" t="s">
        <v>26</v>
      </c>
      <c r="G1801" t="s">
        <v>69</v>
      </c>
      <c r="H1801" t="s">
        <v>86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t="s">
        <v>39</v>
      </c>
    </row>
    <row r="1802" spans="1:15" x14ac:dyDescent="0.35">
      <c r="A1802" t="s">
        <v>3310</v>
      </c>
      <c r="B1802" s="1">
        <v>45926</v>
      </c>
      <c r="C1802" t="s">
        <v>2378</v>
      </c>
      <c r="D1802" t="s">
        <v>30</v>
      </c>
      <c r="E1802" t="s">
        <v>25</v>
      </c>
      <c r="F1802" t="s">
        <v>26</v>
      </c>
      <c r="G1802" t="s">
        <v>20</v>
      </c>
      <c r="H1802" t="s">
        <v>21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t="s">
        <v>22</v>
      </c>
    </row>
    <row r="1803" spans="1:15" x14ac:dyDescent="0.35">
      <c r="A1803" t="s">
        <v>3311</v>
      </c>
      <c r="B1803" s="1">
        <v>45926</v>
      </c>
      <c r="C1803" t="s">
        <v>3312</v>
      </c>
      <c r="D1803" t="s">
        <v>17</v>
      </c>
      <c r="E1803" t="s">
        <v>53</v>
      </c>
      <c r="F1803" t="s">
        <v>54</v>
      </c>
      <c r="G1803" t="s">
        <v>20</v>
      </c>
      <c r="H1803" t="s">
        <v>21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t="s">
        <v>22</v>
      </c>
    </row>
    <row r="1804" spans="1:15" x14ac:dyDescent="0.35">
      <c r="A1804" t="s">
        <v>3313</v>
      </c>
      <c r="B1804" s="1">
        <v>45926</v>
      </c>
      <c r="C1804" t="s">
        <v>217</v>
      </c>
      <c r="D1804" t="s">
        <v>17</v>
      </c>
      <c r="E1804" t="s">
        <v>85</v>
      </c>
      <c r="F1804" t="s">
        <v>60</v>
      </c>
      <c r="G1804" t="s">
        <v>32</v>
      </c>
      <c r="H1804" t="s">
        <v>132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t="s">
        <v>39</v>
      </c>
    </row>
    <row r="1805" spans="1:15" x14ac:dyDescent="0.35">
      <c r="A1805" t="s">
        <v>3314</v>
      </c>
      <c r="B1805" s="1">
        <v>45927</v>
      </c>
      <c r="C1805" t="s">
        <v>352</v>
      </c>
      <c r="D1805" t="s">
        <v>17</v>
      </c>
      <c r="E1805" t="s">
        <v>31</v>
      </c>
      <c r="F1805" t="s">
        <v>19</v>
      </c>
      <c r="G1805" t="s">
        <v>20</v>
      </c>
      <c r="H1805" t="s">
        <v>199</v>
      </c>
      <c r="I1805">
        <v>10</v>
      </c>
      <c r="J1805">
        <v>198.45</v>
      </c>
      <c r="K1805">
        <v>10</v>
      </c>
      <c r="L1805">
        <v>1786.05</v>
      </c>
      <c r="M1805">
        <v>26.78</v>
      </c>
      <c r="N1805">
        <v>667.79</v>
      </c>
      <c r="O1805" t="s">
        <v>34</v>
      </c>
    </row>
    <row r="1806" spans="1:15" x14ac:dyDescent="0.35">
      <c r="A1806" t="s">
        <v>3315</v>
      </c>
      <c r="B1806" s="1">
        <v>45927</v>
      </c>
      <c r="C1806" t="s">
        <v>3316</v>
      </c>
      <c r="D1806" t="s">
        <v>17</v>
      </c>
      <c r="E1806" t="s">
        <v>18</v>
      </c>
      <c r="F1806" t="s">
        <v>19</v>
      </c>
      <c r="G1806" t="s">
        <v>32</v>
      </c>
      <c r="H1806" t="s">
        <v>50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t="s">
        <v>34</v>
      </c>
    </row>
    <row r="1807" spans="1:15" x14ac:dyDescent="0.35">
      <c r="A1807" t="s">
        <v>3317</v>
      </c>
      <c r="B1807" s="1">
        <v>45928</v>
      </c>
      <c r="C1807" t="s">
        <v>754</v>
      </c>
      <c r="D1807" t="s">
        <v>30</v>
      </c>
      <c r="E1807" t="s">
        <v>129</v>
      </c>
      <c r="F1807" t="s">
        <v>19</v>
      </c>
      <c r="G1807" t="s">
        <v>32</v>
      </c>
      <c r="H1807" t="s">
        <v>110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t="s">
        <v>39</v>
      </c>
    </row>
    <row r="1808" spans="1:15" x14ac:dyDescent="0.35">
      <c r="A1808" t="s">
        <v>3318</v>
      </c>
      <c r="B1808" s="1">
        <v>45928</v>
      </c>
      <c r="C1808" t="s">
        <v>2352</v>
      </c>
      <c r="D1808" t="s">
        <v>30</v>
      </c>
      <c r="E1808" t="s">
        <v>166</v>
      </c>
      <c r="F1808" t="s">
        <v>60</v>
      </c>
      <c r="G1808" t="s">
        <v>20</v>
      </c>
      <c r="H1808" t="s">
        <v>38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t="s">
        <v>39</v>
      </c>
    </row>
    <row r="1809" spans="1:15" x14ac:dyDescent="0.35">
      <c r="A1809" t="s">
        <v>3319</v>
      </c>
      <c r="B1809" s="1">
        <v>45929</v>
      </c>
      <c r="C1809" t="s">
        <v>3320</v>
      </c>
      <c r="D1809" t="s">
        <v>30</v>
      </c>
      <c r="E1809" t="s">
        <v>248</v>
      </c>
      <c r="F1809" t="s">
        <v>26</v>
      </c>
      <c r="G1809" t="s">
        <v>42</v>
      </c>
      <c r="H1809" t="s">
        <v>255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t="s">
        <v>56</v>
      </c>
    </row>
    <row r="1810" spans="1:15" x14ac:dyDescent="0.35">
      <c r="A1810" t="s">
        <v>3321</v>
      </c>
      <c r="B1810" s="1">
        <v>45929</v>
      </c>
      <c r="C1810" t="s">
        <v>1076</v>
      </c>
      <c r="D1810" t="s">
        <v>17</v>
      </c>
      <c r="E1810" t="s">
        <v>53</v>
      </c>
      <c r="F1810" t="s">
        <v>54</v>
      </c>
      <c r="G1810" t="s">
        <v>20</v>
      </c>
      <c r="H1810" t="s">
        <v>122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t="s">
        <v>56</v>
      </c>
    </row>
    <row r="1811" spans="1:15" x14ac:dyDescent="0.35">
      <c r="A1811" t="s">
        <v>3322</v>
      </c>
      <c r="B1811" s="1">
        <v>45929</v>
      </c>
      <c r="C1811" t="s">
        <v>3323</v>
      </c>
      <c r="D1811" t="s">
        <v>17</v>
      </c>
      <c r="E1811" t="s">
        <v>63</v>
      </c>
      <c r="F1811" t="s">
        <v>54</v>
      </c>
      <c r="G1811" t="s">
        <v>42</v>
      </c>
      <c r="H1811" t="s">
        <v>294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t="s">
        <v>56</v>
      </c>
    </row>
    <row r="1812" spans="1:15" x14ac:dyDescent="0.35">
      <c r="A1812" t="s">
        <v>3324</v>
      </c>
      <c r="B1812" s="1">
        <v>45930</v>
      </c>
      <c r="C1812" t="s">
        <v>3325</v>
      </c>
      <c r="D1812" t="s">
        <v>30</v>
      </c>
      <c r="E1812" t="s">
        <v>92</v>
      </c>
      <c r="F1812" t="s">
        <v>60</v>
      </c>
      <c r="G1812" t="s">
        <v>42</v>
      </c>
      <c r="H1812" t="s">
        <v>64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t="s">
        <v>22</v>
      </c>
    </row>
    <row r="1813" spans="1:15" x14ac:dyDescent="0.35">
      <c r="A1813" t="s">
        <v>3326</v>
      </c>
      <c r="B1813" s="1">
        <v>45930</v>
      </c>
      <c r="C1813" t="s">
        <v>3327</v>
      </c>
      <c r="D1813" t="s">
        <v>30</v>
      </c>
      <c r="E1813" t="s">
        <v>135</v>
      </c>
      <c r="F1813" t="s">
        <v>26</v>
      </c>
      <c r="G1813" t="s">
        <v>69</v>
      </c>
      <c r="H1813" t="s">
        <v>79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t="s">
        <v>22</v>
      </c>
    </row>
    <row r="1814" spans="1:15" x14ac:dyDescent="0.35">
      <c r="A1814" t="s">
        <v>3328</v>
      </c>
      <c r="B1814" s="1">
        <v>45931</v>
      </c>
      <c r="C1814" t="s">
        <v>327</v>
      </c>
      <c r="D1814" t="s">
        <v>17</v>
      </c>
      <c r="E1814" t="s">
        <v>92</v>
      </c>
      <c r="F1814" t="s">
        <v>60</v>
      </c>
      <c r="G1814" t="s">
        <v>20</v>
      </c>
      <c r="H1814" t="s">
        <v>199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t="s">
        <v>34</v>
      </c>
    </row>
    <row r="1815" spans="1:15" x14ac:dyDescent="0.35">
      <c r="A1815" t="s">
        <v>3329</v>
      </c>
      <c r="B1815" s="1">
        <v>45931</v>
      </c>
      <c r="C1815" t="s">
        <v>3330</v>
      </c>
      <c r="D1815" t="s">
        <v>49</v>
      </c>
      <c r="E1815" t="s">
        <v>166</v>
      </c>
      <c r="F1815" t="s">
        <v>60</v>
      </c>
      <c r="G1815" t="s">
        <v>32</v>
      </c>
      <c r="H1815" t="s">
        <v>82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t="s">
        <v>34</v>
      </c>
    </row>
    <row r="1816" spans="1:15" x14ac:dyDescent="0.35">
      <c r="A1816" t="s">
        <v>3331</v>
      </c>
      <c r="B1816" s="1">
        <v>45931</v>
      </c>
      <c r="C1816" t="s">
        <v>3332</v>
      </c>
      <c r="D1816" t="s">
        <v>49</v>
      </c>
      <c r="E1816" t="s">
        <v>92</v>
      </c>
      <c r="F1816" t="s">
        <v>60</v>
      </c>
      <c r="G1816" t="s">
        <v>20</v>
      </c>
      <c r="H1816" t="s">
        <v>175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t="s">
        <v>34</v>
      </c>
    </row>
    <row r="1817" spans="1:15" x14ac:dyDescent="0.35">
      <c r="A1817" t="s">
        <v>3333</v>
      </c>
      <c r="B1817" s="1">
        <v>45931</v>
      </c>
      <c r="C1817" t="s">
        <v>3334</v>
      </c>
      <c r="D1817" t="s">
        <v>30</v>
      </c>
      <c r="E1817" t="s">
        <v>109</v>
      </c>
      <c r="F1817" t="s">
        <v>54</v>
      </c>
      <c r="G1817" t="s">
        <v>20</v>
      </c>
      <c r="H1817" t="s">
        <v>122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t="s">
        <v>39</v>
      </c>
    </row>
    <row r="1818" spans="1:15" x14ac:dyDescent="0.35">
      <c r="A1818" t="s">
        <v>3335</v>
      </c>
      <c r="B1818" s="1">
        <v>45932</v>
      </c>
      <c r="C1818" t="s">
        <v>3336</v>
      </c>
      <c r="D1818" t="s">
        <v>49</v>
      </c>
      <c r="E1818" t="s">
        <v>248</v>
      </c>
      <c r="F1818" t="s">
        <v>26</v>
      </c>
      <c r="G1818" t="s">
        <v>20</v>
      </c>
      <c r="H1818" t="s">
        <v>170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t="s">
        <v>39</v>
      </c>
    </row>
    <row r="1819" spans="1:15" x14ac:dyDescent="0.35">
      <c r="A1819" t="s">
        <v>3337</v>
      </c>
      <c r="B1819" s="1">
        <v>45933</v>
      </c>
      <c r="C1819" t="s">
        <v>413</v>
      </c>
      <c r="D1819" t="s">
        <v>17</v>
      </c>
      <c r="E1819" t="s">
        <v>31</v>
      </c>
      <c r="F1819" t="s">
        <v>19</v>
      </c>
      <c r="G1819" t="s">
        <v>32</v>
      </c>
      <c r="H1819" t="s">
        <v>73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t="s">
        <v>34</v>
      </c>
    </row>
    <row r="1820" spans="1:15" x14ac:dyDescent="0.35">
      <c r="A1820" t="s">
        <v>3338</v>
      </c>
      <c r="B1820" s="1">
        <v>45933</v>
      </c>
      <c r="C1820" t="s">
        <v>3339</v>
      </c>
      <c r="D1820" t="s">
        <v>30</v>
      </c>
      <c r="E1820" t="s">
        <v>18</v>
      </c>
      <c r="F1820" t="s">
        <v>19</v>
      </c>
      <c r="G1820" t="s">
        <v>20</v>
      </c>
      <c r="H1820" t="s">
        <v>55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t="s">
        <v>34</v>
      </c>
    </row>
    <row r="1821" spans="1:15" x14ac:dyDescent="0.35">
      <c r="A1821" t="s">
        <v>3340</v>
      </c>
      <c r="B1821" s="1">
        <v>45933</v>
      </c>
      <c r="C1821" t="s">
        <v>3128</v>
      </c>
      <c r="D1821" t="s">
        <v>30</v>
      </c>
      <c r="E1821" t="s">
        <v>31</v>
      </c>
      <c r="F1821" t="s">
        <v>19</v>
      </c>
      <c r="G1821" t="s">
        <v>32</v>
      </c>
      <c r="H1821" t="s">
        <v>115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t="s">
        <v>56</v>
      </c>
    </row>
    <row r="1822" spans="1:15" x14ac:dyDescent="0.35">
      <c r="A1822" t="s">
        <v>3341</v>
      </c>
      <c r="B1822" s="1">
        <v>45934</v>
      </c>
      <c r="C1822" t="s">
        <v>3342</v>
      </c>
      <c r="D1822" t="s">
        <v>30</v>
      </c>
      <c r="E1822" t="s">
        <v>135</v>
      </c>
      <c r="F1822" t="s">
        <v>26</v>
      </c>
      <c r="G1822" t="s">
        <v>20</v>
      </c>
      <c r="H1822" t="s">
        <v>55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t="s">
        <v>39</v>
      </c>
    </row>
    <row r="1823" spans="1:15" x14ac:dyDescent="0.35">
      <c r="A1823" t="s">
        <v>3343</v>
      </c>
      <c r="B1823" s="1">
        <v>45935</v>
      </c>
      <c r="C1823" t="s">
        <v>2485</v>
      </c>
      <c r="D1823" t="s">
        <v>17</v>
      </c>
      <c r="E1823" t="s">
        <v>59</v>
      </c>
      <c r="F1823" t="s">
        <v>60</v>
      </c>
      <c r="G1823" t="s">
        <v>42</v>
      </c>
      <c r="H1823" t="s">
        <v>46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t="s">
        <v>39</v>
      </c>
    </row>
    <row r="1824" spans="1:15" x14ac:dyDescent="0.35">
      <c r="A1824" t="s">
        <v>3344</v>
      </c>
      <c r="B1824" s="1">
        <v>45935</v>
      </c>
      <c r="C1824" t="s">
        <v>3345</v>
      </c>
      <c r="D1824" t="s">
        <v>30</v>
      </c>
      <c r="E1824" t="s">
        <v>25</v>
      </c>
      <c r="F1824" t="s">
        <v>26</v>
      </c>
      <c r="G1824" t="s">
        <v>42</v>
      </c>
      <c r="H1824" t="s">
        <v>371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t="s">
        <v>39</v>
      </c>
    </row>
    <row r="1825" spans="1:15" x14ac:dyDescent="0.35">
      <c r="A1825" t="s">
        <v>3346</v>
      </c>
      <c r="B1825" s="1">
        <v>45935</v>
      </c>
      <c r="C1825" t="s">
        <v>3347</v>
      </c>
      <c r="D1825" t="s">
        <v>17</v>
      </c>
      <c r="E1825" t="s">
        <v>31</v>
      </c>
      <c r="F1825" t="s">
        <v>19</v>
      </c>
      <c r="G1825" t="s">
        <v>42</v>
      </c>
      <c r="H1825" t="s">
        <v>89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t="s">
        <v>34</v>
      </c>
    </row>
    <row r="1826" spans="1:15" x14ac:dyDescent="0.35">
      <c r="A1826" t="s">
        <v>3348</v>
      </c>
      <c r="B1826" s="1">
        <v>45935</v>
      </c>
      <c r="C1826" t="s">
        <v>3349</v>
      </c>
      <c r="D1826" t="s">
        <v>30</v>
      </c>
      <c r="E1826" t="s">
        <v>76</v>
      </c>
      <c r="F1826" t="s">
        <v>26</v>
      </c>
      <c r="G1826" t="s">
        <v>42</v>
      </c>
      <c r="H1826" t="s">
        <v>93</v>
      </c>
      <c r="I1826">
        <v>4</v>
      </c>
      <c r="J1826">
        <v>333.64</v>
      </c>
      <c r="K1826">
        <v>5</v>
      </c>
      <c r="L1826">
        <v>1267.83</v>
      </c>
      <c r="M1826">
        <v>10.24</v>
      </c>
      <c r="N1826">
        <v>456.85</v>
      </c>
      <c r="O1826" t="s">
        <v>56</v>
      </c>
    </row>
    <row r="1827" spans="1:15" x14ac:dyDescent="0.35">
      <c r="A1827" t="s">
        <v>3350</v>
      </c>
      <c r="B1827" s="1">
        <v>45935</v>
      </c>
      <c r="C1827" t="s">
        <v>2637</v>
      </c>
      <c r="D1827" t="s">
        <v>17</v>
      </c>
      <c r="E1827" t="s">
        <v>59</v>
      </c>
      <c r="F1827" t="s">
        <v>60</v>
      </c>
      <c r="G1827" t="s">
        <v>20</v>
      </c>
      <c r="H1827" t="s">
        <v>106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t="s">
        <v>34</v>
      </c>
    </row>
    <row r="1828" spans="1:15" x14ac:dyDescent="0.35">
      <c r="A1828" t="s">
        <v>3351</v>
      </c>
      <c r="B1828" s="1">
        <v>45937</v>
      </c>
      <c r="C1828" t="s">
        <v>3352</v>
      </c>
      <c r="D1828" t="s">
        <v>30</v>
      </c>
      <c r="E1828" t="s">
        <v>31</v>
      </c>
      <c r="F1828" t="s">
        <v>19</v>
      </c>
      <c r="G1828" t="s">
        <v>20</v>
      </c>
      <c r="H1828" t="s">
        <v>264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t="s">
        <v>34</v>
      </c>
    </row>
    <row r="1829" spans="1:15" x14ac:dyDescent="0.35">
      <c r="A1829" t="s">
        <v>3353</v>
      </c>
      <c r="B1829" s="1">
        <v>45937</v>
      </c>
      <c r="C1829" t="s">
        <v>3354</v>
      </c>
      <c r="D1829" t="s">
        <v>17</v>
      </c>
      <c r="E1829" t="s">
        <v>121</v>
      </c>
      <c r="F1829" t="s">
        <v>68</v>
      </c>
      <c r="G1829" t="s">
        <v>32</v>
      </c>
      <c r="H1829" t="s">
        <v>50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t="s">
        <v>34</v>
      </c>
    </row>
    <row r="1830" spans="1:15" x14ac:dyDescent="0.35">
      <c r="A1830" t="s">
        <v>3355</v>
      </c>
      <c r="B1830" s="1">
        <v>45939</v>
      </c>
      <c r="C1830" t="s">
        <v>29</v>
      </c>
      <c r="D1830" t="s">
        <v>30</v>
      </c>
      <c r="E1830" t="s">
        <v>135</v>
      </c>
      <c r="F1830" t="s">
        <v>26</v>
      </c>
      <c r="G1830" t="s">
        <v>32</v>
      </c>
      <c r="H1830" t="s">
        <v>110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t="s">
        <v>34</v>
      </c>
    </row>
    <row r="1831" spans="1:15" x14ac:dyDescent="0.35">
      <c r="A1831" t="s">
        <v>3356</v>
      </c>
      <c r="B1831" s="1">
        <v>45939</v>
      </c>
      <c r="C1831" t="s">
        <v>3357</v>
      </c>
      <c r="D1831" t="s">
        <v>30</v>
      </c>
      <c r="E1831" t="s">
        <v>169</v>
      </c>
      <c r="F1831" t="s">
        <v>68</v>
      </c>
      <c r="G1831" t="s">
        <v>20</v>
      </c>
      <c r="H1831" t="s">
        <v>27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t="s">
        <v>34</v>
      </c>
    </row>
    <row r="1832" spans="1:15" x14ac:dyDescent="0.35">
      <c r="A1832" t="s">
        <v>3358</v>
      </c>
      <c r="B1832" s="1">
        <v>45939</v>
      </c>
      <c r="C1832" t="s">
        <v>2555</v>
      </c>
      <c r="D1832" t="s">
        <v>30</v>
      </c>
      <c r="E1832" t="s">
        <v>248</v>
      </c>
      <c r="F1832" t="s">
        <v>26</v>
      </c>
      <c r="G1832" t="s">
        <v>42</v>
      </c>
      <c r="H1832" t="s">
        <v>118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t="s">
        <v>22</v>
      </c>
    </row>
    <row r="1833" spans="1:15" x14ac:dyDescent="0.35">
      <c r="A1833" t="s">
        <v>3359</v>
      </c>
      <c r="B1833" s="1">
        <v>45939</v>
      </c>
      <c r="C1833" t="s">
        <v>1197</v>
      </c>
      <c r="D1833" t="s">
        <v>30</v>
      </c>
      <c r="E1833" t="s">
        <v>129</v>
      </c>
      <c r="F1833" t="s">
        <v>19</v>
      </c>
      <c r="G1833" t="s">
        <v>20</v>
      </c>
      <c r="H1833" t="s">
        <v>55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t="s">
        <v>56</v>
      </c>
    </row>
    <row r="1834" spans="1:15" x14ac:dyDescent="0.35">
      <c r="A1834" t="s">
        <v>3360</v>
      </c>
      <c r="B1834" s="1">
        <v>45940</v>
      </c>
      <c r="C1834" t="s">
        <v>3361</v>
      </c>
      <c r="D1834" t="s">
        <v>17</v>
      </c>
      <c r="E1834" t="s">
        <v>59</v>
      </c>
      <c r="F1834" t="s">
        <v>60</v>
      </c>
      <c r="G1834" t="s">
        <v>42</v>
      </c>
      <c r="H1834" t="s">
        <v>371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t="s">
        <v>22</v>
      </c>
    </row>
    <row r="1835" spans="1:15" x14ac:dyDescent="0.35">
      <c r="A1835" t="s">
        <v>3362</v>
      </c>
      <c r="B1835" s="1">
        <v>45940</v>
      </c>
      <c r="C1835" t="s">
        <v>3363</v>
      </c>
      <c r="D1835" t="s">
        <v>17</v>
      </c>
      <c r="E1835" t="s">
        <v>166</v>
      </c>
      <c r="F1835" t="s">
        <v>60</v>
      </c>
      <c r="G1835" t="s">
        <v>20</v>
      </c>
      <c r="H1835" t="s">
        <v>175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t="s">
        <v>34</v>
      </c>
    </row>
    <row r="1836" spans="1:15" x14ac:dyDescent="0.35">
      <c r="A1836" t="s">
        <v>3364</v>
      </c>
      <c r="B1836" s="1">
        <v>45940</v>
      </c>
      <c r="C1836" t="s">
        <v>179</v>
      </c>
      <c r="D1836" t="s">
        <v>30</v>
      </c>
      <c r="E1836" t="s">
        <v>138</v>
      </c>
      <c r="F1836" t="s">
        <v>54</v>
      </c>
      <c r="G1836" t="s">
        <v>42</v>
      </c>
      <c r="H1836" t="s">
        <v>118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t="s">
        <v>34</v>
      </c>
    </row>
    <row r="1837" spans="1:15" x14ac:dyDescent="0.35">
      <c r="A1837" t="s">
        <v>3365</v>
      </c>
      <c r="B1837" s="1">
        <v>45940</v>
      </c>
      <c r="C1837" t="s">
        <v>829</v>
      </c>
      <c r="D1837" t="s">
        <v>30</v>
      </c>
      <c r="E1837" t="s">
        <v>18</v>
      </c>
      <c r="F1837" t="s">
        <v>19</v>
      </c>
      <c r="G1837" t="s">
        <v>20</v>
      </c>
      <c r="H1837" t="s">
        <v>170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t="s">
        <v>39</v>
      </c>
    </row>
    <row r="1838" spans="1:15" x14ac:dyDescent="0.35">
      <c r="A1838" t="s">
        <v>3366</v>
      </c>
      <c r="B1838" s="1">
        <v>45941</v>
      </c>
      <c r="C1838" t="s">
        <v>3367</v>
      </c>
      <c r="D1838" t="s">
        <v>49</v>
      </c>
      <c r="E1838" t="s">
        <v>59</v>
      </c>
      <c r="F1838" t="s">
        <v>60</v>
      </c>
      <c r="G1838" t="s">
        <v>69</v>
      </c>
      <c r="H1838" t="s">
        <v>243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t="s">
        <v>39</v>
      </c>
    </row>
    <row r="1839" spans="1:15" x14ac:dyDescent="0.35">
      <c r="A1839" t="s">
        <v>3368</v>
      </c>
      <c r="B1839" s="1">
        <v>45941</v>
      </c>
      <c r="C1839" t="s">
        <v>103</v>
      </c>
      <c r="D1839" t="s">
        <v>30</v>
      </c>
      <c r="E1839" t="s">
        <v>121</v>
      </c>
      <c r="F1839" t="s">
        <v>68</v>
      </c>
      <c r="G1839" t="s">
        <v>20</v>
      </c>
      <c r="H1839" t="s">
        <v>175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t="s">
        <v>34</v>
      </c>
    </row>
    <row r="1840" spans="1:15" x14ac:dyDescent="0.35">
      <c r="A1840" t="s">
        <v>3369</v>
      </c>
      <c r="B1840" s="1">
        <v>45942</v>
      </c>
      <c r="C1840" t="s">
        <v>3370</v>
      </c>
      <c r="D1840" t="s">
        <v>17</v>
      </c>
      <c r="E1840" t="s">
        <v>129</v>
      </c>
      <c r="F1840" t="s">
        <v>19</v>
      </c>
      <c r="G1840" t="s">
        <v>69</v>
      </c>
      <c r="H1840" t="s">
        <v>163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t="s">
        <v>39</v>
      </c>
    </row>
    <row r="1841" spans="1:15" x14ac:dyDescent="0.35">
      <c r="A1841" t="s">
        <v>3371</v>
      </c>
      <c r="B1841" s="1">
        <v>45942</v>
      </c>
      <c r="C1841" t="s">
        <v>1907</v>
      </c>
      <c r="D1841" t="s">
        <v>30</v>
      </c>
      <c r="E1841" t="s">
        <v>53</v>
      </c>
      <c r="F1841" t="s">
        <v>54</v>
      </c>
      <c r="G1841" t="s">
        <v>20</v>
      </c>
      <c r="H1841" t="s">
        <v>55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t="s">
        <v>34</v>
      </c>
    </row>
    <row r="1842" spans="1:15" x14ac:dyDescent="0.35">
      <c r="A1842" t="s">
        <v>3372</v>
      </c>
      <c r="B1842" s="1">
        <v>45943</v>
      </c>
      <c r="C1842" t="s">
        <v>168</v>
      </c>
      <c r="D1842" t="s">
        <v>17</v>
      </c>
      <c r="E1842" t="s">
        <v>59</v>
      </c>
      <c r="F1842" t="s">
        <v>60</v>
      </c>
      <c r="G1842" t="s">
        <v>69</v>
      </c>
      <c r="H1842" t="s">
        <v>163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t="s">
        <v>22</v>
      </c>
    </row>
    <row r="1843" spans="1:15" x14ac:dyDescent="0.35">
      <c r="A1843" t="s">
        <v>3373</v>
      </c>
      <c r="B1843" s="1">
        <v>45944</v>
      </c>
      <c r="C1843" t="s">
        <v>3374</v>
      </c>
      <c r="D1843" t="s">
        <v>30</v>
      </c>
      <c r="E1843" t="s">
        <v>59</v>
      </c>
      <c r="F1843" t="s">
        <v>60</v>
      </c>
      <c r="G1843" t="s">
        <v>20</v>
      </c>
      <c r="H1843" t="s">
        <v>55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t="s">
        <v>34</v>
      </c>
    </row>
    <row r="1844" spans="1:15" x14ac:dyDescent="0.35">
      <c r="A1844" t="s">
        <v>3375</v>
      </c>
      <c r="B1844" s="1">
        <v>45944</v>
      </c>
      <c r="C1844" t="s">
        <v>3376</v>
      </c>
      <c r="D1844" t="s">
        <v>49</v>
      </c>
      <c r="E1844" t="s">
        <v>148</v>
      </c>
      <c r="F1844" t="s">
        <v>60</v>
      </c>
      <c r="G1844" t="s">
        <v>32</v>
      </c>
      <c r="H1844" t="s">
        <v>101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t="s">
        <v>56</v>
      </c>
    </row>
    <row r="1845" spans="1:15" x14ac:dyDescent="0.35">
      <c r="A1845" t="s">
        <v>3377</v>
      </c>
      <c r="B1845" s="1">
        <v>45944</v>
      </c>
      <c r="C1845" t="s">
        <v>1860</v>
      </c>
      <c r="D1845" t="s">
        <v>49</v>
      </c>
      <c r="E1845" t="s">
        <v>85</v>
      </c>
      <c r="F1845" t="s">
        <v>60</v>
      </c>
      <c r="G1845" t="s">
        <v>32</v>
      </c>
      <c r="H1845" t="s">
        <v>149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t="s">
        <v>39</v>
      </c>
    </row>
    <row r="1846" spans="1:15" x14ac:dyDescent="0.35">
      <c r="A1846" t="s">
        <v>3378</v>
      </c>
      <c r="B1846" s="1">
        <v>45944</v>
      </c>
      <c r="C1846" t="s">
        <v>58</v>
      </c>
      <c r="D1846" t="s">
        <v>49</v>
      </c>
      <c r="E1846" t="s">
        <v>129</v>
      </c>
      <c r="F1846" t="s">
        <v>19</v>
      </c>
      <c r="G1846" t="s">
        <v>69</v>
      </c>
      <c r="H1846" t="s">
        <v>79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t="s">
        <v>22</v>
      </c>
    </row>
    <row r="1847" spans="1:15" x14ac:dyDescent="0.35">
      <c r="A1847" t="s">
        <v>3379</v>
      </c>
      <c r="B1847" s="1">
        <v>45944</v>
      </c>
      <c r="C1847" t="s">
        <v>1507</v>
      </c>
      <c r="D1847" t="s">
        <v>49</v>
      </c>
      <c r="E1847" t="s">
        <v>31</v>
      </c>
      <c r="F1847" t="s">
        <v>19</v>
      </c>
      <c r="G1847" t="s">
        <v>32</v>
      </c>
      <c r="H1847" t="s">
        <v>149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t="s">
        <v>34</v>
      </c>
    </row>
    <row r="1848" spans="1:15" x14ac:dyDescent="0.35">
      <c r="A1848" t="s">
        <v>3380</v>
      </c>
      <c r="B1848" s="1">
        <v>45945</v>
      </c>
      <c r="C1848" t="s">
        <v>621</v>
      </c>
      <c r="D1848" t="s">
        <v>30</v>
      </c>
      <c r="E1848" t="s">
        <v>76</v>
      </c>
      <c r="F1848" t="s">
        <v>26</v>
      </c>
      <c r="G1848" t="s">
        <v>32</v>
      </c>
      <c r="H1848" t="s">
        <v>115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t="s">
        <v>39</v>
      </c>
    </row>
    <row r="1849" spans="1:15" x14ac:dyDescent="0.35">
      <c r="A1849" t="s">
        <v>3381</v>
      </c>
      <c r="B1849" s="1">
        <v>45946</v>
      </c>
      <c r="C1849" t="s">
        <v>3207</v>
      </c>
      <c r="D1849" t="s">
        <v>17</v>
      </c>
      <c r="E1849" t="s">
        <v>31</v>
      </c>
      <c r="F1849" t="s">
        <v>19</v>
      </c>
      <c r="G1849" t="s">
        <v>42</v>
      </c>
      <c r="H1849" t="s">
        <v>118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t="s">
        <v>22</v>
      </c>
    </row>
    <row r="1850" spans="1:15" x14ac:dyDescent="0.35">
      <c r="A1850" t="s">
        <v>3382</v>
      </c>
      <c r="B1850" s="1">
        <v>45946</v>
      </c>
      <c r="C1850" t="s">
        <v>3383</v>
      </c>
      <c r="D1850" t="s">
        <v>49</v>
      </c>
      <c r="E1850" t="s">
        <v>138</v>
      </c>
      <c r="F1850" t="s">
        <v>54</v>
      </c>
      <c r="G1850" t="s">
        <v>42</v>
      </c>
      <c r="H1850" t="s">
        <v>46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t="s">
        <v>34</v>
      </c>
    </row>
    <row r="1851" spans="1:15" x14ac:dyDescent="0.35">
      <c r="A1851" t="s">
        <v>3384</v>
      </c>
      <c r="B1851" s="1">
        <v>45947</v>
      </c>
      <c r="C1851" t="s">
        <v>1377</v>
      </c>
      <c r="D1851" t="s">
        <v>30</v>
      </c>
      <c r="E1851" t="s">
        <v>18</v>
      </c>
      <c r="F1851" t="s">
        <v>19</v>
      </c>
      <c r="G1851" t="s">
        <v>32</v>
      </c>
      <c r="H1851" t="s">
        <v>115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t="s">
        <v>34</v>
      </c>
    </row>
    <row r="1852" spans="1:15" x14ac:dyDescent="0.35">
      <c r="A1852" t="s">
        <v>3385</v>
      </c>
      <c r="B1852" s="1">
        <v>45947</v>
      </c>
      <c r="C1852" t="s">
        <v>3386</v>
      </c>
      <c r="D1852" t="s">
        <v>17</v>
      </c>
      <c r="E1852" t="s">
        <v>37</v>
      </c>
      <c r="F1852" t="s">
        <v>26</v>
      </c>
      <c r="G1852" t="s">
        <v>69</v>
      </c>
      <c r="H1852" t="s">
        <v>160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t="s">
        <v>34</v>
      </c>
    </row>
    <row r="1853" spans="1:15" x14ac:dyDescent="0.35">
      <c r="A1853" t="s">
        <v>3387</v>
      </c>
      <c r="B1853" s="1">
        <v>45947</v>
      </c>
      <c r="C1853" t="s">
        <v>758</v>
      </c>
      <c r="D1853" t="s">
        <v>30</v>
      </c>
      <c r="E1853" t="s">
        <v>92</v>
      </c>
      <c r="F1853" t="s">
        <v>60</v>
      </c>
      <c r="G1853" t="s">
        <v>20</v>
      </c>
      <c r="H1853" t="s">
        <v>38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t="s">
        <v>22</v>
      </c>
    </row>
    <row r="1854" spans="1:15" x14ac:dyDescent="0.35">
      <c r="A1854" t="s">
        <v>3388</v>
      </c>
      <c r="B1854" s="1">
        <v>45948</v>
      </c>
      <c r="C1854" t="s">
        <v>3389</v>
      </c>
      <c r="D1854" t="s">
        <v>17</v>
      </c>
      <c r="E1854" t="s">
        <v>76</v>
      </c>
      <c r="F1854" t="s">
        <v>26</v>
      </c>
      <c r="G1854" t="s">
        <v>20</v>
      </c>
      <c r="H1854" t="s">
        <v>38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t="s">
        <v>34</v>
      </c>
    </row>
    <row r="1855" spans="1:15" x14ac:dyDescent="0.35">
      <c r="A1855" t="s">
        <v>3390</v>
      </c>
      <c r="B1855" s="1">
        <v>45948</v>
      </c>
      <c r="C1855" t="s">
        <v>3391</v>
      </c>
      <c r="D1855" t="s">
        <v>17</v>
      </c>
      <c r="E1855" t="s">
        <v>18</v>
      </c>
      <c r="F1855" t="s">
        <v>19</v>
      </c>
      <c r="G1855" t="s">
        <v>20</v>
      </c>
      <c r="H1855" t="s">
        <v>175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t="s">
        <v>56</v>
      </c>
    </row>
    <row r="1856" spans="1:15" x14ac:dyDescent="0.35">
      <c r="A1856" t="s">
        <v>3392</v>
      </c>
      <c r="B1856" s="1">
        <v>45949</v>
      </c>
      <c r="C1856" t="s">
        <v>3393</v>
      </c>
      <c r="D1856" t="s">
        <v>49</v>
      </c>
      <c r="E1856" t="s">
        <v>18</v>
      </c>
      <c r="F1856" t="s">
        <v>19</v>
      </c>
      <c r="G1856" t="s">
        <v>42</v>
      </c>
      <c r="H1856" t="s">
        <v>118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t="s">
        <v>39</v>
      </c>
    </row>
    <row r="1857" spans="1:15" x14ac:dyDescent="0.35">
      <c r="A1857" t="s">
        <v>3394</v>
      </c>
      <c r="B1857" s="1">
        <v>45949</v>
      </c>
      <c r="C1857" t="s">
        <v>3395</v>
      </c>
      <c r="D1857" t="s">
        <v>30</v>
      </c>
      <c r="E1857" t="s">
        <v>135</v>
      </c>
      <c r="F1857" t="s">
        <v>26</v>
      </c>
      <c r="G1857" t="s">
        <v>69</v>
      </c>
      <c r="H1857" t="s">
        <v>163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t="s">
        <v>22</v>
      </c>
    </row>
    <row r="1858" spans="1:15" x14ac:dyDescent="0.35">
      <c r="A1858" t="s">
        <v>3396</v>
      </c>
      <c r="B1858" s="1">
        <v>45950</v>
      </c>
      <c r="C1858" t="s">
        <v>3397</v>
      </c>
      <c r="D1858" t="s">
        <v>17</v>
      </c>
      <c r="E1858" t="s">
        <v>85</v>
      </c>
      <c r="F1858" t="s">
        <v>60</v>
      </c>
      <c r="G1858" t="s">
        <v>69</v>
      </c>
      <c r="H1858" t="s">
        <v>98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t="s">
        <v>34</v>
      </c>
    </row>
    <row r="1859" spans="1:15" x14ac:dyDescent="0.35">
      <c r="A1859" t="s">
        <v>3398</v>
      </c>
      <c r="B1859" s="1">
        <v>45950</v>
      </c>
      <c r="C1859" t="s">
        <v>3399</v>
      </c>
      <c r="D1859" t="s">
        <v>17</v>
      </c>
      <c r="E1859" t="s">
        <v>121</v>
      </c>
      <c r="F1859" t="s">
        <v>68</v>
      </c>
      <c r="G1859" t="s">
        <v>32</v>
      </c>
      <c r="H1859" t="s">
        <v>115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t="s">
        <v>22</v>
      </c>
    </row>
    <row r="1860" spans="1:15" x14ac:dyDescent="0.35">
      <c r="A1860" t="s">
        <v>3400</v>
      </c>
      <c r="B1860" s="1">
        <v>45951</v>
      </c>
      <c r="C1860" t="s">
        <v>827</v>
      </c>
      <c r="D1860" t="s">
        <v>17</v>
      </c>
      <c r="E1860" t="s">
        <v>25</v>
      </c>
      <c r="F1860" t="s">
        <v>26</v>
      </c>
      <c r="G1860" t="s">
        <v>32</v>
      </c>
      <c r="H1860" t="s">
        <v>101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t="s">
        <v>56</v>
      </c>
    </row>
    <row r="1861" spans="1:15" x14ac:dyDescent="0.35">
      <c r="A1861" t="s">
        <v>3401</v>
      </c>
      <c r="B1861" s="1">
        <v>45951</v>
      </c>
      <c r="C1861" t="s">
        <v>3402</v>
      </c>
      <c r="D1861" t="s">
        <v>49</v>
      </c>
      <c r="E1861" t="s">
        <v>92</v>
      </c>
      <c r="F1861" t="s">
        <v>60</v>
      </c>
      <c r="G1861" t="s">
        <v>20</v>
      </c>
      <c r="H1861" t="s">
        <v>106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t="s">
        <v>39</v>
      </c>
    </row>
    <row r="1862" spans="1:15" x14ac:dyDescent="0.35">
      <c r="A1862" t="s">
        <v>3403</v>
      </c>
      <c r="B1862" s="1">
        <v>45951</v>
      </c>
      <c r="C1862" t="s">
        <v>1076</v>
      </c>
      <c r="D1862" t="s">
        <v>30</v>
      </c>
      <c r="E1862" t="s">
        <v>18</v>
      </c>
      <c r="F1862" t="s">
        <v>19</v>
      </c>
      <c r="G1862" t="s">
        <v>69</v>
      </c>
      <c r="H1862" t="s">
        <v>79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t="s">
        <v>34</v>
      </c>
    </row>
    <row r="1863" spans="1:15" x14ac:dyDescent="0.35">
      <c r="A1863" t="s">
        <v>3404</v>
      </c>
      <c r="B1863" s="1">
        <v>45952</v>
      </c>
      <c r="C1863" t="s">
        <v>778</v>
      </c>
      <c r="D1863" t="s">
        <v>30</v>
      </c>
      <c r="E1863" t="s">
        <v>18</v>
      </c>
      <c r="F1863" t="s">
        <v>19</v>
      </c>
      <c r="G1863" t="s">
        <v>42</v>
      </c>
      <c r="H1863" t="s">
        <v>234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t="s">
        <v>34</v>
      </c>
    </row>
    <row r="1864" spans="1:15" x14ac:dyDescent="0.35">
      <c r="A1864" t="s">
        <v>3405</v>
      </c>
      <c r="B1864" s="1">
        <v>45953</v>
      </c>
      <c r="C1864" t="s">
        <v>3406</v>
      </c>
      <c r="D1864" t="s">
        <v>49</v>
      </c>
      <c r="E1864" t="s">
        <v>248</v>
      </c>
      <c r="F1864" t="s">
        <v>26</v>
      </c>
      <c r="G1864" t="s">
        <v>32</v>
      </c>
      <c r="H1864" t="s">
        <v>33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t="s">
        <v>34</v>
      </c>
    </row>
    <row r="1865" spans="1:15" x14ac:dyDescent="0.35">
      <c r="A1865" t="s">
        <v>3407</v>
      </c>
      <c r="B1865" s="1">
        <v>45954</v>
      </c>
      <c r="C1865" t="s">
        <v>3408</v>
      </c>
      <c r="D1865" t="s">
        <v>49</v>
      </c>
      <c r="E1865" t="s">
        <v>59</v>
      </c>
      <c r="F1865" t="s">
        <v>60</v>
      </c>
      <c r="G1865" t="s">
        <v>42</v>
      </c>
      <c r="H1865" t="s">
        <v>64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t="s">
        <v>34</v>
      </c>
    </row>
    <row r="1866" spans="1:15" x14ac:dyDescent="0.35">
      <c r="A1866" t="s">
        <v>3409</v>
      </c>
      <c r="B1866" s="1">
        <v>45955</v>
      </c>
      <c r="C1866" t="s">
        <v>498</v>
      </c>
      <c r="D1866" t="s">
        <v>30</v>
      </c>
      <c r="E1866" t="s">
        <v>76</v>
      </c>
      <c r="F1866" t="s">
        <v>26</v>
      </c>
      <c r="G1866" t="s">
        <v>32</v>
      </c>
      <c r="H1866" t="s">
        <v>82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t="s">
        <v>56</v>
      </c>
    </row>
    <row r="1867" spans="1:15" x14ac:dyDescent="0.35">
      <c r="A1867" t="s">
        <v>3410</v>
      </c>
      <c r="B1867" s="1">
        <v>45955</v>
      </c>
      <c r="C1867" t="s">
        <v>2648</v>
      </c>
      <c r="D1867" t="s">
        <v>17</v>
      </c>
      <c r="E1867" t="s">
        <v>129</v>
      </c>
      <c r="F1867" t="s">
        <v>19</v>
      </c>
      <c r="G1867" t="s">
        <v>69</v>
      </c>
      <c r="H1867" t="s">
        <v>86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t="s">
        <v>39</v>
      </c>
    </row>
    <row r="1868" spans="1:15" x14ac:dyDescent="0.35">
      <c r="A1868" t="s">
        <v>3411</v>
      </c>
      <c r="B1868" s="1">
        <v>45956</v>
      </c>
      <c r="C1868" t="s">
        <v>3412</v>
      </c>
      <c r="D1868" t="s">
        <v>30</v>
      </c>
      <c r="E1868" t="s">
        <v>129</v>
      </c>
      <c r="F1868" t="s">
        <v>19</v>
      </c>
      <c r="G1868" t="s">
        <v>69</v>
      </c>
      <c r="H1868" t="s">
        <v>196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t="s">
        <v>39</v>
      </c>
    </row>
    <row r="1869" spans="1:15" x14ac:dyDescent="0.35">
      <c r="A1869" t="s">
        <v>3413</v>
      </c>
      <c r="B1869" s="1">
        <v>45956</v>
      </c>
      <c r="C1869" t="s">
        <v>3414</v>
      </c>
      <c r="D1869" t="s">
        <v>17</v>
      </c>
      <c r="E1869" t="s">
        <v>31</v>
      </c>
      <c r="F1869" t="s">
        <v>19</v>
      </c>
      <c r="G1869" t="s">
        <v>69</v>
      </c>
      <c r="H1869" t="s">
        <v>86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t="s">
        <v>39</v>
      </c>
    </row>
    <row r="1870" spans="1:15" x14ac:dyDescent="0.35">
      <c r="A1870" t="s">
        <v>3415</v>
      </c>
      <c r="B1870" s="1">
        <v>45957</v>
      </c>
      <c r="C1870" t="s">
        <v>1928</v>
      </c>
      <c r="D1870" t="s">
        <v>30</v>
      </c>
      <c r="E1870" t="s">
        <v>148</v>
      </c>
      <c r="F1870" t="s">
        <v>60</v>
      </c>
      <c r="G1870" t="s">
        <v>20</v>
      </c>
      <c r="H1870" t="s">
        <v>21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t="s">
        <v>39</v>
      </c>
    </row>
    <row r="1871" spans="1:15" x14ac:dyDescent="0.35">
      <c r="A1871" t="s">
        <v>3416</v>
      </c>
      <c r="B1871" s="1">
        <v>45957</v>
      </c>
      <c r="C1871" t="s">
        <v>1339</v>
      </c>
      <c r="D1871" t="s">
        <v>30</v>
      </c>
      <c r="E1871" t="s">
        <v>248</v>
      </c>
      <c r="F1871" t="s">
        <v>26</v>
      </c>
      <c r="G1871" t="s">
        <v>20</v>
      </c>
      <c r="H1871" t="s">
        <v>21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t="s">
        <v>56</v>
      </c>
    </row>
    <row r="1872" spans="1:15" x14ac:dyDescent="0.35">
      <c r="A1872" t="s">
        <v>3417</v>
      </c>
      <c r="B1872" s="1">
        <v>45958</v>
      </c>
      <c r="C1872" t="s">
        <v>3418</v>
      </c>
      <c r="D1872" t="s">
        <v>17</v>
      </c>
      <c r="E1872" t="s">
        <v>166</v>
      </c>
      <c r="F1872" t="s">
        <v>60</v>
      </c>
      <c r="G1872" t="s">
        <v>32</v>
      </c>
      <c r="H1872" t="s">
        <v>50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t="s">
        <v>34</v>
      </c>
    </row>
    <row r="1873" spans="1:15" x14ac:dyDescent="0.35">
      <c r="A1873" t="s">
        <v>3419</v>
      </c>
      <c r="B1873" s="1">
        <v>45958</v>
      </c>
      <c r="C1873" t="s">
        <v>3420</v>
      </c>
      <c r="D1873" t="s">
        <v>30</v>
      </c>
      <c r="E1873" t="s">
        <v>59</v>
      </c>
      <c r="F1873" t="s">
        <v>60</v>
      </c>
      <c r="G1873" t="s">
        <v>42</v>
      </c>
      <c r="H1873" t="s">
        <v>234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t="s">
        <v>39</v>
      </c>
    </row>
    <row r="1874" spans="1:15" x14ac:dyDescent="0.35">
      <c r="A1874" t="s">
        <v>3421</v>
      </c>
      <c r="B1874" s="1">
        <v>45958</v>
      </c>
      <c r="C1874" t="s">
        <v>209</v>
      </c>
      <c r="D1874" t="s">
        <v>30</v>
      </c>
      <c r="E1874" t="s">
        <v>138</v>
      </c>
      <c r="F1874" t="s">
        <v>54</v>
      </c>
      <c r="G1874" t="s">
        <v>32</v>
      </c>
      <c r="H1874" t="s">
        <v>101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t="s">
        <v>22</v>
      </c>
    </row>
    <row r="1875" spans="1:15" x14ac:dyDescent="0.35">
      <c r="A1875" t="s">
        <v>3422</v>
      </c>
      <c r="B1875" s="1">
        <v>45959</v>
      </c>
      <c r="C1875" t="s">
        <v>3027</v>
      </c>
      <c r="D1875" t="s">
        <v>30</v>
      </c>
      <c r="E1875" t="s">
        <v>169</v>
      </c>
      <c r="F1875" t="s">
        <v>68</v>
      </c>
      <c r="G1875" t="s">
        <v>69</v>
      </c>
      <c r="H1875" t="s">
        <v>163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t="s">
        <v>39</v>
      </c>
    </row>
    <row r="1876" spans="1:15" x14ac:dyDescent="0.35">
      <c r="A1876" t="s">
        <v>3423</v>
      </c>
      <c r="B1876" s="1">
        <v>45960</v>
      </c>
      <c r="C1876" t="s">
        <v>3424</v>
      </c>
      <c r="D1876" t="s">
        <v>49</v>
      </c>
      <c r="E1876" t="s">
        <v>248</v>
      </c>
      <c r="F1876" t="s">
        <v>26</v>
      </c>
      <c r="G1876" t="s">
        <v>42</v>
      </c>
      <c r="H1876" t="s">
        <v>93</v>
      </c>
      <c r="I1876">
        <v>3</v>
      </c>
      <c r="J1876">
        <v>414.09</v>
      </c>
      <c r="K1876">
        <v>10</v>
      </c>
      <c r="L1876">
        <v>1118.04</v>
      </c>
      <c r="M1876">
        <v>13.11</v>
      </c>
      <c r="N1876">
        <v>359.57</v>
      </c>
      <c r="O1876" t="s">
        <v>39</v>
      </c>
    </row>
    <row r="1877" spans="1:15" x14ac:dyDescent="0.35">
      <c r="A1877" t="s">
        <v>3425</v>
      </c>
      <c r="B1877" s="1">
        <v>45960</v>
      </c>
      <c r="C1877" t="s">
        <v>3426</v>
      </c>
      <c r="D1877" t="s">
        <v>30</v>
      </c>
      <c r="E1877" t="s">
        <v>25</v>
      </c>
      <c r="F1877" t="s">
        <v>26</v>
      </c>
      <c r="G1877" t="s">
        <v>69</v>
      </c>
      <c r="H1877" t="s">
        <v>79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t="s">
        <v>34</v>
      </c>
    </row>
    <row r="1878" spans="1:15" x14ac:dyDescent="0.35">
      <c r="A1878" t="s">
        <v>3427</v>
      </c>
      <c r="B1878" s="1">
        <v>45961</v>
      </c>
      <c r="C1878" t="s">
        <v>3428</v>
      </c>
      <c r="D1878" t="s">
        <v>49</v>
      </c>
      <c r="E1878" t="s">
        <v>37</v>
      </c>
      <c r="F1878" t="s">
        <v>26</v>
      </c>
      <c r="G1878" t="s">
        <v>20</v>
      </c>
      <c r="H1878" t="s">
        <v>21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t="s">
        <v>56</v>
      </c>
    </row>
    <row r="1879" spans="1:15" x14ac:dyDescent="0.35">
      <c r="A1879" t="s">
        <v>3429</v>
      </c>
      <c r="B1879" s="1">
        <v>45961</v>
      </c>
      <c r="C1879" t="s">
        <v>183</v>
      </c>
      <c r="D1879" t="s">
        <v>30</v>
      </c>
      <c r="E1879" t="s">
        <v>18</v>
      </c>
      <c r="F1879" t="s">
        <v>19</v>
      </c>
      <c r="G1879" t="s">
        <v>69</v>
      </c>
      <c r="H1879" t="s">
        <v>305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t="s">
        <v>22</v>
      </c>
    </row>
    <row r="1880" spans="1:15" x14ac:dyDescent="0.35">
      <c r="A1880" t="s">
        <v>3430</v>
      </c>
      <c r="B1880" s="1">
        <v>45962</v>
      </c>
      <c r="C1880" t="s">
        <v>1768</v>
      </c>
      <c r="D1880" t="s">
        <v>49</v>
      </c>
      <c r="E1880" t="s">
        <v>67</v>
      </c>
      <c r="F1880" t="s">
        <v>68</v>
      </c>
      <c r="G1880" t="s">
        <v>42</v>
      </c>
      <c r="H1880" t="s">
        <v>294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t="s">
        <v>39</v>
      </c>
    </row>
    <row r="1881" spans="1:15" x14ac:dyDescent="0.35">
      <c r="A1881" t="s">
        <v>3431</v>
      </c>
      <c r="B1881" s="1">
        <v>45962</v>
      </c>
      <c r="C1881" t="s">
        <v>3432</v>
      </c>
      <c r="D1881" t="s">
        <v>49</v>
      </c>
      <c r="E1881" t="s">
        <v>76</v>
      </c>
      <c r="F1881" t="s">
        <v>26</v>
      </c>
      <c r="G1881" t="s">
        <v>42</v>
      </c>
      <c r="H1881" t="s">
        <v>43</v>
      </c>
      <c r="I1881">
        <v>10</v>
      </c>
      <c r="J1881">
        <v>320.82</v>
      </c>
      <c r="K1881">
        <v>20</v>
      </c>
      <c r="L1881">
        <v>2566.56</v>
      </c>
      <c r="M1881">
        <v>27</v>
      </c>
      <c r="N1881">
        <v>614.64</v>
      </c>
      <c r="O1881" t="s">
        <v>56</v>
      </c>
    </row>
    <row r="1882" spans="1:15" x14ac:dyDescent="0.35">
      <c r="A1882" t="s">
        <v>3433</v>
      </c>
      <c r="B1882" s="1">
        <v>45962</v>
      </c>
      <c r="C1882" t="s">
        <v>3434</v>
      </c>
      <c r="D1882" t="s">
        <v>30</v>
      </c>
      <c r="E1882" t="s">
        <v>121</v>
      </c>
      <c r="F1882" t="s">
        <v>68</v>
      </c>
      <c r="G1882" t="s">
        <v>69</v>
      </c>
      <c r="H1882" t="s">
        <v>79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t="s">
        <v>39</v>
      </c>
    </row>
    <row r="1883" spans="1:15" x14ac:dyDescent="0.35">
      <c r="A1883" t="s">
        <v>3435</v>
      </c>
      <c r="B1883" s="1">
        <v>45963</v>
      </c>
      <c r="C1883" t="s">
        <v>3005</v>
      </c>
      <c r="D1883" t="s">
        <v>17</v>
      </c>
      <c r="E1883" t="s">
        <v>31</v>
      </c>
      <c r="F1883" t="s">
        <v>19</v>
      </c>
      <c r="G1883" t="s">
        <v>20</v>
      </c>
      <c r="H1883" t="s">
        <v>170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t="s">
        <v>56</v>
      </c>
    </row>
    <row r="1884" spans="1:15" x14ac:dyDescent="0.35">
      <c r="A1884" t="s">
        <v>3436</v>
      </c>
      <c r="B1884" s="1">
        <v>45963</v>
      </c>
      <c r="C1884" t="s">
        <v>3437</v>
      </c>
      <c r="D1884" t="s">
        <v>30</v>
      </c>
      <c r="E1884" t="s">
        <v>31</v>
      </c>
      <c r="F1884" t="s">
        <v>19</v>
      </c>
      <c r="G1884" t="s">
        <v>32</v>
      </c>
      <c r="H1884" t="s">
        <v>50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t="s">
        <v>22</v>
      </c>
    </row>
    <row r="1885" spans="1:15" x14ac:dyDescent="0.35">
      <c r="A1885" t="s">
        <v>3438</v>
      </c>
      <c r="B1885" s="1">
        <v>45964</v>
      </c>
      <c r="C1885" t="s">
        <v>3439</v>
      </c>
      <c r="D1885" t="s">
        <v>17</v>
      </c>
      <c r="E1885" t="s">
        <v>25</v>
      </c>
      <c r="F1885" t="s">
        <v>26</v>
      </c>
      <c r="G1885" t="s">
        <v>20</v>
      </c>
      <c r="H1885" t="s">
        <v>21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t="s">
        <v>56</v>
      </c>
    </row>
    <row r="1886" spans="1:15" x14ac:dyDescent="0.35">
      <c r="A1886" t="s">
        <v>3440</v>
      </c>
      <c r="B1886" s="1">
        <v>45964</v>
      </c>
      <c r="C1886" t="s">
        <v>3441</v>
      </c>
      <c r="D1886" t="s">
        <v>30</v>
      </c>
      <c r="E1886" t="s">
        <v>25</v>
      </c>
      <c r="F1886" t="s">
        <v>26</v>
      </c>
      <c r="G1886" t="s">
        <v>42</v>
      </c>
      <c r="H1886" t="s">
        <v>89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t="s">
        <v>56</v>
      </c>
    </row>
    <row r="1887" spans="1:15" x14ac:dyDescent="0.35">
      <c r="A1887" t="s">
        <v>3442</v>
      </c>
      <c r="B1887" s="1">
        <v>45964</v>
      </c>
      <c r="C1887" t="s">
        <v>3443</v>
      </c>
      <c r="D1887" t="s">
        <v>49</v>
      </c>
      <c r="E1887" t="s">
        <v>248</v>
      </c>
      <c r="F1887" t="s">
        <v>26</v>
      </c>
      <c r="G1887" t="s">
        <v>20</v>
      </c>
      <c r="H1887" t="s">
        <v>122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t="s">
        <v>39</v>
      </c>
    </row>
    <row r="1888" spans="1:15" x14ac:dyDescent="0.35">
      <c r="A1888" t="s">
        <v>3444</v>
      </c>
      <c r="B1888" s="1">
        <v>45965</v>
      </c>
      <c r="C1888" t="s">
        <v>3445</v>
      </c>
      <c r="D1888" t="s">
        <v>30</v>
      </c>
      <c r="E1888" t="s">
        <v>37</v>
      </c>
      <c r="F1888" t="s">
        <v>26</v>
      </c>
      <c r="G1888" t="s">
        <v>20</v>
      </c>
      <c r="H1888" t="s">
        <v>175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t="s">
        <v>39</v>
      </c>
    </row>
    <row r="1889" spans="1:15" x14ac:dyDescent="0.35">
      <c r="A1889" t="s">
        <v>3446</v>
      </c>
      <c r="B1889" s="1">
        <v>45966</v>
      </c>
      <c r="C1889" t="s">
        <v>764</v>
      </c>
      <c r="D1889" t="s">
        <v>49</v>
      </c>
      <c r="E1889" t="s">
        <v>92</v>
      </c>
      <c r="F1889" t="s">
        <v>60</v>
      </c>
      <c r="G1889" t="s">
        <v>32</v>
      </c>
      <c r="H1889" t="s">
        <v>149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t="s">
        <v>39</v>
      </c>
    </row>
    <row r="1890" spans="1:15" x14ac:dyDescent="0.35">
      <c r="A1890" t="s">
        <v>3447</v>
      </c>
      <c r="B1890" s="1">
        <v>45967</v>
      </c>
      <c r="C1890" t="s">
        <v>1348</v>
      </c>
      <c r="D1890" t="s">
        <v>17</v>
      </c>
      <c r="E1890" t="s">
        <v>129</v>
      </c>
      <c r="F1890" t="s">
        <v>19</v>
      </c>
      <c r="G1890" t="s">
        <v>42</v>
      </c>
      <c r="H1890" t="s">
        <v>234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t="s">
        <v>34</v>
      </c>
    </row>
    <row r="1891" spans="1:15" x14ac:dyDescent="0.35">
      <c r="A1891" t="s">
        <v>3448</v>
      </c>
      <c r="B1891" s="1">
        <v>45967</v>
      </c>
      <c r="C1891" t="s">
        <v>3449</v>
      </c>
      <c r="D1891" t="s">
        <v>30</v>
      </c>
      <c r="E1891" t="s">
        <v>138</v>
      </c>
      <c r="F1891" t="s">
        <v>54</v>
      </c>
      <c r="G1891" t="s">
        <v>20</v>
      </c>
      <c r="H1891" t="s">
        <v>38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t="s">
        <v>34</v>
      </c>
    </row>
    <row r="1892" spans="1:15" x14ac:dyDescent="0.35">
      <c r="A1892" t="s">
        <v>3450</v>
      </c>
      <c r="B1892" s="1">
        <v>45967</v>
      </c>
      <c r="C1892" t="s">
        <v>3451</v>
      </c>
      <c r="D1892" t="s">
        <v>17</v>
      </c>
      <c r="E1892" t="s">
        <v>31</v>
      </c>
      <c r="F1892" t="s">
        <v>19</v>
      </c>
      <c r="G1892" t="s">
        <v>32</v>
      </c>
      <c r="H1892" t="s">
        <v>110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t="s">
        <v>34</v>
      </c>
    </row>
    <row r="1893" spans="1:15" x14ac:dyDescent="0.35">
      <c r="A1893" t="s">
        <v>3452</v>
      </c>
      <c r="B1893" s="1">
        <v>45968</v>
      </c>
      <c r="C1893" t="s">
        <v>3453</v>
      </c>
      <c r="D1893" t="s">
        <v>49</v>
      </c>
      <c r="E1893" t="s">
        <v>59</v>
      </c>
      <c r="F1893" t="s">
        <v>60</v>
      </c>
      <c r="G1893" t="s">
        <v>42</v>
      </c>
      <c r="H1893" t="s">
        <v>64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t="s">
        <v>34</v>
      </c>
    </row>
    <row r="1894" spans="1:15" x14ac:dyDescent="0.35">
      <c r="A1894" t="s">
        <v>3454</v>
      </c>
      <c r="B1894" s="1">
        <v>45969</v>
      </c>
      <c r="C1894" t="s">
        <v>3455</v>
      </c>
      <c r="D1894" t="s">
        <v>49</v>
      </c>
      <c r="E1894" t="s">
        <v>59</v>
      </c>
      <c r="F1894" t="s">
        <v>60</v>
      </c>
      <c r="G1894" t="s">
        <v>42</v>
      </c>
      <c r="H1894" t="s">
        <v>93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t="s">
        <v>39</v>
      </c>
    </row>
    <row r="1895" spans="1:15" x14ac:dyDescent="0.35">
      <c r="A1895" t="s">
        <v>3456</v>
      </c>
      <c r="B1895" s="1">
        <v>45969</v>
      </c>
      <c r="C1895" t="s">
        <v>3242</v>
      </c>
      <c r="D1895" t="s">
        <v>30</v>
      </c>
      <c r="E1895" t="s">
        <v>166</v>
      </c>
      <c r="F1895" t="s">
        <v>60</v>
      </c>
      <c r="G1895" t="s">
        <v>69</v>
      </c>
      <c r="H1895" t="s">
        <v>86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t="s">
        <v>34</v>
      </c>
    </row>
    <row r="1896" spans="1:15" x14ac:dyDescent="0.35">
      <c r="A1896" t="s">
        <v>3457</v>
      </c>
      <c r="B1896" s="1">
        <v>45969</v>
      </c>
      <c r="C1896" t="s">
        <v>3458</v>
      </c>
      <c r="D1896" t="s">
        <v>30</v>
      </c>
      <c r="E1896" t="s">
        <v>248</v>
      </c>
      <c r="F1896" t="s">
        <v>26</v>
      </c>
      <c r="G1896" t="s">
        <v>42</v>
      </c>
      <c r="H1896" t="s">
        <v>234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t="s">
        <v>34</v>
      </c>
    </row>
    <row r="1897" spans="1:15" x14ac:dyDescent="0.35">
      <c r="A1897" t="s">
        <v>3459</v>
      </c>
      <c r="B1897" s="1">
        <v>45969</v>
      </c>
      <c r="C1897" t="s">
        <v>2354</v>
      </c>
      <c r="D1897" t="s">
        <v>30</v>
      </c>
      <c r="E1897" t="s">
        <v>63</v>
      </c>
      <c r="F1897" t="s">
        <v>54</v>
      </c>
      <c r="G1897" t="s">
        <v>69</v>
      </c>
      <c r="H1897" t="s">
        <v>163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t="s">
        <v>34</v>
      </c>
    </row>
    <row r="1898" spans="1:15" x14ac:dyDescent="0.35">
      <c r="A1898" t="s">
        <v>3460</v>
      </c>
      <c r="B1898" s="1">
        <v>45969</v>
      </c>
      <c r="C1898" t="s">
        <v>3461</v>
      </c>
      <c r="D1898" t="s">
        <v>49</v>
      </c>
      <c r="E1898" t="s">
        <v>76</v>
      </c>
      <c r="F1898" t="s">
        <v>26</v>
      </c>
      <c r="G1898" t="s">
        <v>42</v>
      </c>
      <c r="H1898" t="s">
        <v>294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t="s">
        <v>34</v>
      </c>
    </row>
    <row r="1899" spans="1:15" x14ac:dyDescent="0.35">
      <c r="A1899" t="s">
        <v>3462</v>
      </c>
      <c r="B1899" s="1">
        <v>45970</v>
      </c>
      <c r="C1899" t="s">
        <v>1855</v>
      </c>
      <c r="D1899" t="s">
        <v>17</v>
      </c>
      <c r="E1899" t="s">
        <v>59</v>
      </c>
      <c r="F1899" t="s">
        <v>60</v>
      </c>
      <c r="G1899" t="s">
        <v>20</v>
      </c>
      <c r="H1899" t="s">
        <v>21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t="s">
        <v>39</v>
      </c>
    </row>
    <row r="1900" spans="1:15" x14ac:dyDescent="0.35">
      <c r="A1900" t="s">
        <v>3463</v>
      </c>
      <c r="B1900" s="1">
        <v>45970</v>
      </c>
      <c r="C1900" t="s">
        <v>1098</v>
      </c>
      <c r="D1900" t="s">
        <v>17</v>
      </c>
      <c r="E1900" t="s">
        <v>76</v>
      </c>
      <c r="F1900" t="s">
        <v>26</v>
      </c>
      <c r="G1900" t="s">
        <v>42</v>
      </c>
      <c r="H1900" t="s">
        <v>43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t="s">
        <v>56</v>
      </c>
    </row>
    <row r="1901" spans="1:15" x14ac:dyDescent="0.35">
      <c r="A1901" t="s">
        <v>3464</v>
      </c>
      <c r="B1901" s="1">
        <v>45971</v>
      </c>
      <c r="C1901" t="s">
        <v>956</v>
      </c>
      <c r="D1901" t="s">
        <v>30</v>
      </c>
      <c r="E1901" t="s">
        <v>135</v>
      </c>
      <c r="F1901" t="s">
        <v>26</v>
      </c>
      <c r="G1901" t="s">
        <v>42</v>
      </c>
      <c r="H1901" t="s">
        <v>118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t="s">
        <v>34</v>
      </c>
    </row>
    <row r="1902" spans="1:15" x14ac:dyDescent="0.35">
      <c r="A1902" t="s">
        <v>3465</v>
      </c>
      <c r="B1902" s="1">
        <v>45972</v>
      </c>
      <c r="C1902" t="s">
        <v>3466</v>
      </c>
      <c r="D1902" t="s">
        <v>30</v>
      </c>
      <c r="E1902" t="s">
        <v>67</v>
      </c>
      <c r="F1902" t="s">
        <v>68</v>
      </c>
      <c r="G1902" t="s">
        <v>32</v>
      </c>
      <c r="H1902" t="s">
        <v>348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t="s">
        <v>34</v>
      </c>
    </row>
    <row r="1903" spans="1:15" x14ac:dyDescent="0.35">
      <c r="A1903" t="s">
        <v>3467</v>
      </c>
      <c r="B1903" s="1">
        <v>45972</v>
      </c>
      <c r="C1903" t="s">
        <v>3468</v>
      </c>
      <c r="D1903" t="s">
        <v>30</v>
      </c>
      <c r="E1903" t="s">
        <v>31</v>
      </c>
      <c r="F1903" t="s">
        <v>19</v>
      </c>
      <c r="G1903" t="s">
        <v>32</v>
      </c>
      <c r="H1903" t="s">
        <v>73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t="s">
        <v>34</v>
      </c>
    </row>
    <row r="1904" spans="1:15" x14ac:dyDescent="0.35">
      <c r="A1904" t="s">
        <v>3469</v>
      </c>
      <c r="B1904" s="1">
        <v>45973</v>
      </c>
      <c r="C1904" t="s">
        <v>2501</v>
      </c>
      <c r="D1904" t="s">
        <v>30</v>
      </c>
      <c r="E1904" t="s">
        <v>166</v>
      </c>
      <c r="F1904" t="s">
        <v>60</v>
      </c>
      <c r="G1904" t="s">
        <v>32</v>
      </c>
      <c r="H1904" t="s">
        <v>82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t="s">
        <v>39</v>
      </c>
    </row>
    <row r="1905" spans="1:15" x14ac:dyDescent="0.35">
      <c r="A1905" t="s">
        <v>3470</v>
      </c>
      <c r="B1905" s="1">
        <v>45974</v>
      </c>
      <c r="C1905" t="s">
        <v>2580</v>
      </c>
      <c r="D1905" t="s">
        <v>49</v>
      </c>
      <c r="E1905" t="s">
        <v>18</v>
      </c>
      <c r="F1905" t="s">
        <v>19</v>
      </c>
      <c r="G1905" t="s">
        <v>32</v>
      </c>
      <c r="H1905" t="s">
        <v>82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t="s">
        <v>39</v>
      </c>
    </row>
    <row r="1906" spans="1:15" x14ac:dyDescent="0.35">
      <c r="A1906" t="s">
        <v>3471</v>
      </c>
      <c r="B1906" s="1">
        <v>45974</v>
      </c>
      <c r="C1906" t="s">
        <v>2015</v>
      </c>
      <c r="D1906" t="s">
        <v>17</v>
      </c>
      <c r="E1906" t="s">
        <v>129</v>
      </c>
      <c r="F1906" t="s">
        <v>19</v>
      </c>
      <c r="G1906" t="s">
        <v>32</v>
      </c>
      <c r="H1906" t="s">
        <v>33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t="s">
        <v>22</v>
      </c>
    </row>
    <row r="1907" spans="1:15" x14ac:dyDescent="0.35">
      <c r="A1907" t="s">
        <v>3472</v>
      </c>
      <c r="B1907" s="1">
        <v>45975</v>
      </c>
      <c r="C1907" t="s">
        <v>3473</v>
      </c>
      <c r="D1907" t="s">
        <v>17</v>
      </c>
      <c r="E1907" t="s">
        <v>25</v>
      </c>
      <c r="F1907" t="s">
        <v>26</v>
      </c>
      <c r="G1907" t="s">
        <v>32</v>
      </c>
      <c r="H1907" t="s">
        <v>110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t="s">
        <v>34</v>
      </c>
    </row>
    <row r="1908" spans="1:15" x14ac:dyDescent="0.35">
      <c r="A1908" t="s">
        <v>3474</v>
      </c>
      <c r="B1908" s="1">
        <v>45976</v>
      </c>
      <c r="C1908" t="s">
        <v>1818</v>
      </c>
      <c r="D1908" t="s">
        <v>17</v>
      </c>
      <c r="E1908" t="s">
        <v>129</v>
      </c>
      <c r="F1908" t="s">
        <v>19</v>
      </c>
      <c r="G1908" t="s">
        <v>20</v>
      </c>
      <c r="H1908" t="s">
        <v>106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t="s">
        <v>22</v>
      </c>
    </row>
    <row r="1909" spans="1:15" x14ac:dyDescent="0.35">
      <c r="A1909" t="s">
        <v>3475</v>
      </c>
      <c r="B1909" s="1">
        <v>45978</v>
      </c>
      <c r="C1909" t="s">
        <v>3476</v>
      </c>
      <c r="D1909" t="s">
        <v>30</v>
      </c>
      <c r="E1909" t="s">
        <v>248</v>
      </c>
      <c r="F1909" t="s">
        <v>26</v>
      </c>
      <c r="G1909" t="s">
        <v>32</v>
      </c>
      <c r="H1909" t="s">
        <v>348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t="s">
        <v>22</v>
      </c>
    </row>
    <row r="1910" spans="1:15" x14ac:dyDescent="0.35">
      <c r="A1910" t="s">
        <v>3477</v>
      </c>
      <c r="B1910" s="1">
        <v>45978</v>
      </c>
      <c r="C1910" t="s">
        <v>3478</v>
      </c>
      <c r="D1910" t="s">
        <v>17</v>
      </c>
      <c r="E1910" t="s">
        <v>31</v>
      </c>
      <c r="F1910" t="s">
        <v>19</v>
      </c>
      <c r="G1910" t="s">
        <v>32</v>
      </c>
      <c r="H1910" t="s">
        <v>115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t="s">
        <v>39</v>
      </c>
    </row>
    <row r="1911" spans="1:15" x14ac:dyDescent="0.35">
      <c r="A1911" t="s">
        <v>3479</v>
      </c>
      <c r="B1911" s="1">
        <v>45978</v>
      </c>
      <c r="C1911" t="s">
        <v>3480</v>
      </c>
      <c r="D1911" t="s">
        <v>17</v>
      </c>
      <c r="E1911" t="s">
        <v>37</v>
      </c>
      <c r="F1911" t="s">
        <v>26</v>
      </c>
      <c r="G1911" t="s">
        <v>20</v>
      </c>
      <c r="H1911" t="s">
        <v>264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t="s">
        <v>39</v>
      </c>
    </row>
    <row r="1912" spans="1:15" x14ac:dyDescent="0.35">
      <c r="A1912" t="s">
        <v>3481</v>
      </c>
      <c r="B1912" s="1">
        <v>45978</v>
      </c>
      <c r="C1912" t="s">
        <v>3482</v>
      </c>
      <c r="D1912" t="s">
        <v>17</v>
      </c>
      <c r="E1912" t="s">
        <v>31</v>
      </c>
      <c r="F1912" t="s">
        <v>19</v>
      </c>
      <c r="G1912" t="s">
        <v>32</v>
      </c>
      <c r="H1912" t="s">
        <v>50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t="s">
        <v>39</v>
      </c>
    </row>
    <row r="1913" spans="1:15" x14ac:dyDescent="0.35">
      <c r="A1913" t="s">
        <v>3483</v>
      </c>
      <c r="B1913" s="1">
        <v>45979</v>
      </c>
      <c r="C1913" t="s">
        <v>3484</v>
      </c>
      <c r="D1913" t="s">
        <v>30</v>
      </c>
      <c r="E1913" t="s">
        <v>166</v>
      </c>
      <c r="F1913" t="s">
        <v>60</v>
      </c>
      <c r="G1913" t="s">
        <v>20</v>
      </c>
      <c r="H1913" t="s">
        <v>55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t="s">
        <v>34</v>
      </c>
    </row>
    <row r="1914" spans="1:15" x14ac:dyDescent="0.35">
      <c r="A1914" t="s">
        <v>3485</v>
      </c>
      <c r="B1914" s="1">
        <v>45979</v>
      </c>
      <c r="C1914" t="s">
        <v>3486</v>
      </c>
      <c r="D1914" t="s">
        <v>30</v>
      </c>
      <c r="E1914" t="s">
        <v>148</v>
      </c>
      <c r="F1914" t="s">
        <v>60</v>
      </c>
      <c r="G1914" t="s">
        <v>69</v>
      </c>
      <c r="H1914" t="s">
        <v>139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t="s">
        <v>34</v>
      </c>
    </row>
    <row r="1915" spans="1:15" x14ac:dyDescent="0.35">
      <c r="A1915" t="s">
        <v>3487</v>
      </c>
      <c r="B1915" s="1">
        <v>45979</v>
      </c>
      <c r="C1915" t="s">
        <v>1356</v>
      </c>
      <c r="D1915" t="s">
        <v>17</v>
      </c>
      <c r="E1915" t="s">
        <v>166</v>
      </c>
      <c r="F1915" t="s">
        <v>60</v>
      </c>
      <c r="G1915" t="s">
        <v>42</v>
      </c>
      <c r="H1915" t="s">
        <v>371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t="s">
        <v>22</v>
      </c>
    </row>
    <row r="1916" spans="1:15" x14ac:dyDescent="0.35">
      <c r="A1916" t="s">
        <v>3488</v>
      </c>
      <c r="B1916" s="1">
        <v>45979</v>
      </c>
      <c r="C1916" t="s">
        <v>1600</v>
      </c>
      <c r="D1916" t="s">
        <v>17</v>
      </c>
      <c r="E1916" t="s">
        <v>31</v>
      </c>
      <c r="F1916" t="s">
        <v>19</v>
      </c>
      <c r="G1916" t="s">
        <v>42</v>
      </c>
      <c r="H1916" t="s">
        <v>294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t="s">
        <v>22</v>
      </c>
    </row>
    <row r="1917" spans="1:15" x14ac:dyDescent="0.35">
      <c r="A1917" t="s">
        <v>3489</v>
      </c>
      <c r="B1917" s="1">
        <v>45980</v>
      </c>
      <c r="C1917" t="s">
        <v>3490</v>
      </c>
      <c r="D1917" t="s">
        <v>30</v>
      </c>
      <c r="E1917" t="s">
        <v>121</v>
      </c>
      <c r="F1917" t="s">
        <v>68</v>
      </c>
      <c r="G1917" t="s">
        <v>69</v>
      </c>
      <c r="H1917" t="s">
        <v>86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t="s">
        <v>34</v>
      </c>
    </row>
    <row r="1918" spans="1:15" x14ac:dyDescent="0.35">
      <c r="A1918" t="s">
        <v>3491</v>
      </c>
      <c r="B1918" s="1">
        <v>45980</v>
      </c>
      <c r="C1918" t="s">
        <v>3492</v>
      </c>
      <c r="D1918" t="s">
        <v>17</v>
      </c>
      <c r="E1918" t="s">
        <v>166</v>
      </c>
      <c r="F1918" t="s">
        <v>60</v>
      </c>
      <c r="G1918" t="s">
        <v>42</v>
      </c>
      <c r="H1918" t="s">
        <v>371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t="s">
        <v>56</v>
      </c>
    </row>
    <row r="1919" spans="1:15" x14ac:dyDescent="0.35">
      <c r="A1919" t="s">
        <v>3493</v>
      </c>
      <c r="B1919" s="1">
        <v>45981</v>
      </c>
      <c r="C1919" t="s">
        <v>1013</v>
      </c>
      <c r="D1919" t="s">
        <v>49</v>
      </c>
      <c r="E1919" t="s">
        <v>31</v>
      </c>
      <c r="F1919" t="s">
        <v>19</v>
      </c>
      <c r="G1919" t="s">
        <v>20</v>
      </c>
      <c r="H1919" t="s">
        <v>175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t="s">
        <v>34</v>
      </c>
    </row>
    <row r="1920" spans="1:15" x14ac:dyDescent="0.35">
      <c r="A1920" t="s">
        <v>3494</v>
      </c>
      <c r="B1920" s="1">
        <v>45981</v>
      </c>
      <c r="C1920" t="s">
        <v>3495</v>
      </c>
      <c r="D1920" t="s">
        <v>30</v>
      </c>
      <c r="E1920" t="s">
        <v>109</v>
      </c>
      <c r="F1920" t="s">
        <v>54</v>
      </c>
      <c r="G1920" t="s">
        <v>69</v>
      </c>
      <c r="H1920" t="s">
        <v>70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t="s">
        <v>56</v>
      </c>
    </row>
    <row r="1921" spans="1:15" x14ac:dyDescent="0.35">
      <c r="A1921" t="s">
        <v>3496</v>
      </c>
      <c r="B1921" s="1">
        <v>45981</v>
      </c>
      <c r="C1921" t="s">
        <v>3497</v>
      </c>
      <c r="D1921" t="s">
        <v>17</v>
      </c>
      <c r="E1921" t="s">
        <v>166</v>
      </c>
      <c r="F1921" t="s">
        <v>60</v>
      </c>
      <c r="G1921" t="s">
        <v>32</v>
      </c>
      <c r="H1921" t="s">
        <v>348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t="s">
        <v>39</v>
      </c>
    </row>
    <row r="1922" spans="1:15" x14ac:dyDescent="0.35">
      <c r="A1922" t="s">
        <v>3498</v>
      </c>
      <c r="B1922" s="1">
        <v>45982</v>
      </c>
      <c r="C1922" t="s">
        <v>1217</v>
      </c>
      <c r="D1922" t="s">
        <v>49</v>
      </c>
      <c r="E1922" t="s">
        <v>121</v>
      </c>
      <c r="F1922" t="s">
        <v>68</v>
      </c>
      <c r="G1922" t="s">
        <v>32</v>
      </c>
      <c r="H1922" t="s">
        <v>82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t="s">
        <v>56</v>
      </c>
    </row>
    <row r="1923" spans="1:15" x14ac:dyDescent="0.35">
      <c r="A1923" t="s">
        <v>3499</v>
      </c>
      <c r="B1923" s="1">
        <v>45984</v>
      </c>
      <c r="C1923" t="s">
        <v>1557</v>
      </c>
      <c r="D1923" t="s">
        <v>30</v>
      </c>
      <c r="E1923" t="s">
        <v>85</v>
      </c>
      <c r="F1923" t="s">
        <v>60</v>
      </c>
      <c r="G1923" t="s">
        <v>32</v>
      </c>
      <c r="H1923" t="s">
        <v>115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t="s">
        <v>34</v>
      </c>
    </row>
    <row r="1924" spans="1:15" x14ac:dyDescent="0.35">
      <c r="A1924" t="s">
        <v>3500</v>
      </c>
      <c r="B1924" s="1">
        <v>45985</v>
      </c>
      <c r="C1924" t="s">
        <v>3501</v>
      </c>
      <c r="D1924" t="s">
        <v>30</v>
      </c>
      <c r="E1924" t="s">
        <v>25</v>
      </c>
      <c r="F1924" t="s">
        <v>26</v>
      </c>
      <c r="G1924" t="s">
        <v>42</v>
      </c>
      <c r="H1924" t="s">
        <v>64</v>
      </c>
      <c r="I1924">
        <v>11</v>
      </c>
      <c r="J1924">
        <v>121</v>
      </c>
      <c r="K1924">
        <v>10</v>
      </c>
      <c r="L1924">
        <v>1197.9000000000001</v>
      </c>
      <c r="M1924">
        <v>25.42</v>
      </c>
      <c r="N1924">
        <v>373.88</v>
      </c>
      <c r="O1924" t="s">
        <v>39</v>
      </c>
    </row>
    <row r="1925" spans="1:15" x14ac:dyDescent="0.35">
      <c r="A1925" t="s">
        <v>3502</v>
      </c>
      <c r="B1925" s="1">
        <v>45985</v>
      </c>
      <c r="C1925" t="s">
        <v>3503</v>
      </c>
      <c r="D1925" t="s">
        <v>17</v>
      </c>
      <c r="E1925" t="s">
        <v>148</v>
      </c>
      <c r="F1925" t="s">
        <v>60</v>
      </c>
      <c r="G1925" t="s">
        <v>42</v>
      </c>
      <c r="H1925" t="s">
        <v>255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t="s">
        <v>39</v>
      </c>
    </row>
    <row r="1926" spans="1:15" x14ac:dyDescent="0.35">
      <c r="A1926" t="s">
        <v>3504</v>
      </c>
      <c r="B1926" s="1">
        <v>45986</v>
      </c>
      <c r="C1926" t="s">
        <v>3505</v>
      </c>
      <c r="D1926" t="s">
        <v>49</v>
      </c>
      <c r="E1926" t="s">
        <v>92</v>
      </c>
      <c r="F1926" t="s">
        <v>60</v>
      </c>
      <c r="G1926" t="s">
        <v>42</v>
      </c>
      <c r="H1926" t="s">
        <v>371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t="s">
        <v>34</v>
      </c>
    </row>
    <row r="1927" spans="1:15" x14ac:dyDescent="0.35">
      <c r="A1927" t="s">
        <v>3506</v>
      </c>
      <c r="B1927" s="1">
        <v>45987</v>
      </c>
      <c r="C1927" t="s">
        <v>3284</v>
      </c>
      <c r="D1927" t="s">
        <v>17</v>
      </c>
      <c r="E1927" t="s">
        <v>135</v>
      </c>
      <c r="F1927" t="s">
        <v>26</v>
      </c>
      <c r="G1927" t="s">
        <v>20</v>
      </c>
      <c r="H1927" t="s">
        <v>55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t="s">
        <v>39</v>
      </c>
    </row>
    <row r="1928" spans="1:15" x14ac:dyDescent="0.35">
      <c r="A1928" t="s">
        <v>3507</v>
      </c>
      <c r="B1928" s="1">
        <v>45987</v>
      </c>
      <c r="C1928" t="s">
        <v>3508</v>
      </c>
      <c r="D1928" t="s">
        <v>17</v>
      </c>
      <c r="E1928" t="s">
        <v>85</v>
      </c>
      <c r="F1928" t="s">
        <v>60</v>
      </c>
      <c r="G1928" t="s">
        <v>20</v>
      </c>
      <c r="H1928" t="s">
        <v>264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t="s">
        <v>34</v>
      </c>
    </row>
    <row r="1929" spans="1:15" x14ac:dyDescent="0.35">
      <c r="A1929" t="s">
        <v>3509</v>
      </c>
      <c r="B1929" s="1">
        <v>45987</v>
      </c>
      <c r="C1929" t="s">
        <v>3510</v>
      </c>
      <c r="D1929" t="s">
        <v>30</v>
      </c>
      <c r="E1929" t="s">
        <v>85</v>
      </c>
      <c r="F1929" t="s">
        <v>60</v>
      </c>
      <c r="G1929" t="s">
        <v>69</v>
      </c>
      <c r="H1929" t="s">
        <v>86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t="s">
        <v>34</v>
      </c>
    </row>
    <row r="1930" spans="1:15" x14ac:dyDescent="0.35">
      <c r="A1930" t="s">
        <v>3511</v>
      </c>
      <c r="B1930" s="1">
        <v>45988</v>
      </c>
      <c r="C1930" t="s">
        <v>1459</v>
      </c>
      <c r="D1930" t="s">
        <v>17</v>
      </c>
      <c r="E1930" t="s">
        <v>109</v>
      </c>
      <c r="F1930" t="s">
        <v>54</v>
      </c>
      <c r="G1930" t="s">
        <v>20</v>
      </c>
      <c r="H1930" t="s">
        <v>170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t="s">
        <v>39</v>
      </c>
    </row>
    <row r="1931" spans="1:15" x14ac:dyDescent="0.35">
      <c r="A1931" t="s">
        <v>3512</v>
      </c>
      <c r="B1931" s="1">
        <v>45988</v>
      </c>
      <c r="C1931" t="s">
        <v>2039</v>
      </c>
      <c r="D1931" t="s">
        <v>49</v>
      </c>
      <c r="E1931" t="s">
        <v>76</v>
      </c>
      <c r="F1931" t="s">
        <v>26</v>
      </c>
      <c r="G1931" t="s">
        <v>42</v>
      </c>
      <c r="H1931" t="s">
        <v>255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t="s">
        <v>22</v>
      </c>
    </row>
    <row r="1932" spans="1:15" x14ac:dyDescent="0.35">
      <c r="A1932" t="s">
        <v>3513</v>
      </c>
      <c r="B1932" s="1">
        <v>45989</v>
      </c>
      <c r="C1932" t="s">
        <v>524</v>
      </c>
      <c r="D1932" t="s">
        <v>30</v>
      </c>
      <c r="E1932" t="s">
        <v>92</v>
      </c>
      <c r="F1932" t="s">
        <v>60</v>
      </c>
      <c r="G1932" t="s">
        <v>32</v>
      </c>
      <c r="H1932" t="s">
        <v>73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t="s">
        <v>34</v>
      </c>
    </row>
    <row r="1933" spans="1:15" x14ac:dyDescent="0.35">
      <c r="A1933" t="s">
        <v>3514</v>
      </c>
      <c r="B1933" s="1">
        <v>45989</v>
      </c>
      <c r="C1933" t="s">
        <v>3515</v>
      </c>
      <c r="D1933" t="s">
        <v>30</v>
      </c>
      <c r="E1933" t="s">
        <v>31</v>
      </c>
      <c r="F1933" t="s">
        <v>19</v>
      </c>
      <c r="G1933" t="s">
        <v>32</v>
      </c>
      <c r="H1933" t="s">
        <v>132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t="s">
        <v>39</v>
      </c>
    </row>
    <row r="1934" spans="1:15" x14ac:dyDescent="0.35">
      <c r="A1934" t="s">
        <v>3516</v>
      </c>
      <c r="B1934" s="1">
        <v>45989</v>
      </c>
      <c r="C1934" t="s">
        <v>3517</v>
      </c>
      <c r="D1934" t="s">
        <v>30</v>
      </c>
      <c r="E1934" t="s">
        <v>121</v>
      </c>
      <c r="F1934" t="s">
        <v>68</v>
      </c>
      <c r="G1934" t="s">
        <v>32</v>
      </c>
      <c r="H1934" t="s">
        <v>348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t="s">
        <v>34</v>
      </c>
    </row>
    <row r="1935" spans="1:15" x14ac:dyDescent="0.35">
      <c r="A1935" t="s">
        <v>3518</v>
      </c>
      <c r="B1935" s="1">
        <v>45990</v>
      </c>
      <c r="C1935" t="s">
        <v>3519</v>
      </c>
      <c r="D1935" t="s">
        <v>49</v>
      </c>
      <c r="E1935" t="s">
        <v>248</v>
      </c>
      <c r="F1935" t="s">
        <v>26</v>
      </c>
      <c r="G1935" t="s">
        <v>32</v>
      </c>
      <c r="H1935" t="s">
        <v>101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t="s">
        <v>56</v>
      </c>
    </row>
    <row r="1936" spans="1:15" x14ac:dyDescent="0.35">
      <c r="A1936" t="s">
        <v>3520</v>
      </c>
      <c r="B1936" s="1">
        <v>45990</v>
      </c>
      <c r="C1936" t="s">
        <v>2063</v>
      </c>
      <c r="D1936" t="s">
        <v>30</v>
      </c>
      <c r="E1936" t="s">
        <v>59</v>
      </c>
      <c r="F1936" t="s">
        <v>60</v>
      </c>
      <c r="G1936" t="s">
        <v>20</v>
      </c>
      <c r="H1936" t="s">
        <v>175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t="s">
        <v>22</v>
      </c>
    </row>
    <row r="1937" spans="1:15" x14ac:dyDescent="0.35">
      <c r="A1937" t="s">
        <v>3521</v>
      </c>
      <c r="B1937" s="1">
        <v>45991</v>
      </c>
      <c r="C1937" t="s">
        <v>3522</v>
      </c>
      <c r="D1937" t="s">
        <v>17</v>
      </c>
      <c r="E1937" t="s">
        <v>25</v>
      </c>
      <c r="F1937" t="s">
        <v>26</v>
      </c>
      <c r="G1937" t="s">
        <v>42</v>
      </c>
      <c r="H1937" t="s">
        <v>234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t="s">
        <v>39</v>
      </c>
    </row>
    <row r="1938" spans="1:15" x14ac:dyDescent="0.35">
      <c r="A1938" t="s">
        <v>3523</v>
      </c>
      <c r="B1938" s="1">
        <v>45992</v>
      </c>
      <c r="C1938" t="s">
        <v>3524</v>
      </c>
      <c r="D1938" t="s">
        <v>30</v>
      </c>
      <c r="E1938" t="s">
        <v>148</v>
      </c>
      <c r="F1938" t="s">
        <v>60</v>
      </c>
      <c r="G1938" t="s">
        <v>32</v>
      </c>
      <c r="H1938" t="s">
        <v>132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t="s">
        <v>34</v>
      </c>
    </row>
    <row r="1939" spans="1:15" x14ac:dyDescent="0.35">
      <c r="A1939" t="s">
        <v>3525</v>
      </c>
      <c r="B1939" s="1">
        <v>45992</v>
      </c>
      <c r="C1939" t="s">
        <v>3526</v>
      </c>
      <c r="D1939" t="s">
        <v>30</v>
      </c>
      <c r="E1939" t="s">
        <v>59</v>
      </c>
      <c r="F1939" t="s">
        <v>60</v>
      </c>
      <c r="G1939" t="s">
        <v>42</v>
      </c>
      <c r="H1939" t="s">
        <v>93</v>
      </c>
      <c r="I1939">
        <v>12</v>
      </c>
      <c r="J1939">
        <v>189.49</v>
      </c>
      <c r="K1939">
        <v>15</v>
      </c>
      <c r="L1939">
        <v>1932.8</v>
      </c>
      <c r="M1939">
        <v>34.81</v>
      </c>
      <c r="N1939">
        <v>533.66</v>
      </c>
      <c r="O1939" t="s">
        <v>34</v>
      </c>
    </row>
    <row r="1940" spans="1:15" x14ac:dyDescent="0.35">
      <c r="A1940" t="s">
        <v>3527</v>
      </c>
      <c r="B1940" s="1">
        <v>45993</v>
      </c>
      <c r="C1940" t="s">
        <v>1102</v>
      </c>
      <c r="D1940" t="s">
        <v>30</v>
      </c>
      <c r="E1940" t="s">
        <v>18</v>
      </c>
      <c r="F1940" t="s">
        <v>19</v>
      </c>
      <c r="G1940" t="s">
        <v>69</v>
      </c>
      <c r="H1940" t="s">
        <v>86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t="s">
        <v>34</v>
      </c>
    </row>
    <row r="1941" spans="1:15" x14ac:dyDescent="0.35">
      <c r="A1941" t="s">
        <v>3528</v>
      </c>
      <c r="B1941" s="1">
        <v>45993</v>
      </c>
      <c r="C1941" t="s">
        <v>3529</v>
      </c>
      <c r="D1941" t="s">
        <v>49</v>
      </c>
      <c r="E1941" t="s">
        <v>18</v>
      </c>
      <c r="F1941" t="s">
        <v>19</v>
      </c>
      <c r="G1941" t="s">
        <v>32</v>
      </c>
      <c r="H1941" t="s">
        <v>149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t="s">
        <v>56</v>
      </c>
    </row>
    <row r="1942" spans="1:15" x14ac:dyDescent="0.35">
      <c r="A1942" t="s">
        <v>3530</v>
      </c>
      <c r="B1942" s="1">
        <v>45993</v>
      </c>
      <c r="C1942" t="s">
        <v>2057</v>
      </c>
      <c r="D1942" t="s">
        <v>17</v>
      </c>
      <c r="E1942" t="s">
        <v>166</v>
      </c>
      <c r="F1942" t="s">
        <v>60</v>
      </c>
      <c r="G1942" t="s">
        <v>42</v>
      </c>
      <c r="H1942" t="s">
        <v>255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t="s">
        <v>39</v>
      </c>
    </row>
    <row r="1943" spans="1:15" x14ac:dyDescent="0.35">
      <c r="A1943" t="s">
        <v>3531</v>
      </c>
      <c r="B1943" s="1">
        <v>45993</v>
      </c>
      <c r="C1943" t="s">
        <v>3532</v>
      </c>
      <c r="D1943" t="s">
        <v>17</v>
      </c>
      <c r="E1943" t="s">
        <v>67</v>
      </c>
      <c r="F1943" t="s">
        <v>68</v>
      </c>
      <c r="G1943" t="s">
        <v>32</v>
      </c>
      <c r="H1943" t="s">
        <v>115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t="s">
        <v>39</v>
      </c>
    </row>
    <row r="1944" spans="1:15" x14ac:dyDescent="0.35">
      <c r="A1944" t="s">
        <v>3533</v>
      </c>
      <c r="B1944" s="1">
        <v>45994</v>
      </c>
      <c r="C1944" t="s">
        <v>3534</v>
      </c>
      <c r="D1944" t="s">
        <v>49</v>
      </c>
      <c r="E1944" t="s">
        <v>138</v>
      </c>
      <c r="F1944" t="s">
        <v>54</v>
      </c>
      <c r="G1944" t="s">
        <v>42</v>
      </c>
      <c r="H1944" t="s">
        <v>118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t="s">
        <v>39</v>
      </c>
    </row>
    <row r="1945" spans="1:15" x14ac:dyDescent="0.35">
      <c r="A1945" t="s">
        <v>3535</v>
      </c>
      <c r="B1945" s="1">
        <v>45995</v>
      </c>
      <c r="C1945" t="s">
        <v>2006</v>
      </c>
      <c r="D1945" t="s">
        <v>30</v>
      </c>
      <c r="E1945" t="s">
        <v>85</v>
      </c>
      <c r="F1945" t="s">
        <v>60</v>
      </c>
      <c r="G1945" t="s">
        <v>32</v>
      </c>
      <c r="H1945" t="s">
        <v>132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t="s">
        <v>34</v>
      </c>
    </row>
    <row r="1946" spans="1:15" x14ac:dyDescent="0.35">
      <c r="A1946" t="s">
        <v>3536</v>
      </c>
      <c r="B1946" s="1">
        <v>45995</v>
      </c>
      <c r="C1946" t="s">
        <v>3537</v>
      </c>
      <c r="D1946" t="s">
        <v>17</v>
      </c>
      <c r="E1946" t="s">
        <v>18</v>
      </c>
      <c r="F1946" t="s">
        <v>19</v>
      </c>
      <c r="G1946" t="s">
        <v>69</v>
      </c>
      <c r="H1946" t="s">
        <v>98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t="s">
        <v>34</v>
      </c>
    </row>
    <row r="1947" spans="1:15" x14ac:dyDescent="0.35">
      <c r="A1947" t="s">
        <v>3538</v>
      </c>
      <c r="B1947" s="1">
        <v>45997</v>
      </c>
      <c r="C1947" t="s">
        <v>2901</v>
      </c>
      <c r="D1947" t="s">
        <v>30</v>
      </c>
      <c r="E1947" t="s">
        <v>85</v>
      </c>
      <c r="F1947" t="s">
        <v>60</v>
      </c>
      <c r="G1947" t="s">
        <v>20</v>
      </c>
      <c r="H1947" t="s">
        <v>21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t="s">
        <v>34</v>
      </c>
    </row>
    <row r="1948" spans="1:15" x14ac:dyDescent="0.35">
      <c r="A1948" t="s">
        <v>3539</v>
      </c>
      <c r="B1948" s="1">
        <v>45997</v>
      </c>
      <c r="C1948" t="s">
        <v>3540</v>
      </c>
      <c r="D1948" t="s">
        <v>30</v>
      </c>
      <c r="E1948" t="s">
        <v>85</v>
      </c>
      <c r="F1948" t="s">
        <v>60</v>
      </c>
      <c r="G1948" t="s">
        <v>20</v>
      </c>
      <c r="H1948" t="s">
        <v>38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t="s">
        <v>34</v>
      </c>
    </row>
    <row r="1949" spans="1:15" x14ac:dyDescent="0.35">
      <c r="A1949" t="s">
        <v>3541</v>
      </c>
      <c r="B1949" s="1">
        <v>45997</v>
      </c>
      <c r="C1949" t="s">
        <v>1855</v>
      </c>
      <c r="D1949" t="s">
        <v>17</v>
      </c>
      <c r="E1949" t="s">
        <v>138</v>
      </c>
      <c r="F1949" t="s">
        <v>54</v>
      </c>
      <c r="G1949" t="s">
        <v>42</v>
      </c>
      <c r="H1949" t="s">
        <v>255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t="s">
        <v>56</v>
      </c>
    </row>
    <row r="1950" spans="1:15" x14ac:dyDescent="0.35">
      <c r="A1950" t="s">
        <v>3542</v>
      </c>
      <c r="B1950" s="1">
        <v>45997</v>
      </c>
      <c r="C1950" t="s">
        <v>3543</v>
      </c>
      <c r="D1950" t="s">
        <v>30</v>
      </c>
      <c r="E1950" t="s">
        <v>31</v>
      </c>
      <c r="F1950" t="s">
        <v>19</v>
      </c>
      <c r="G1950" t="s">
        <v>32</v>
      </c>
      <c r="H1950" t="s">
        <v>115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t="s">
        <v>39</v>
      </c>
    </row>
    <row r="1951" spans="1:15" x14ac:dyDescent="0.35">
      <c r="A1951" t="s">
        <v>3544</v>
      </c>
      <c r="B1951" s="1">
        <v>45997</v>
      </c>
      <c r="C1951" t="s">
        <v>3545</v>
      </c>
      <c r="D1951" t="s">
        <v>30</v>
      </c>
      <c r="E1951" t="s">
        <v>59</v>
      </c>
      <c r="F1951" t="s">
        <v>60</v>
      </c>
      <c r="G1951" t="s">
        <v>69</v>
      </c>
      <c r="H1951" t="s">
        <v>196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t="s">
        <v>39</v>
      </c>
    </row>
    <row r="1952" spans="1:15" x14ac:dyDescent="0.35">
      <c r="A1952" t="s">
        <v>3546</v>
      </c>
      <c r="B1952" s="1">
        <v>45998</v>
      </c>
      <c r="C1952" t="s">
        <v>1113</v>
      </c>
      <c r="D1952" t="s">
        <v>30</v>
      </c>
      <c r="E1952" t="s">
        <v>129</v>
      </c>
      <c r="F1952" t="s">
        <v>19</v>
      </c>
      <c r="G1952" t="s">
        <v>69</v>
      </c>
      <c r="H1952" t="s">
        <v>98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t="s">
        <v>34</v>
      </c>
    </row>
    <row r="1953" spans="1:15" x14ac:dyDescent="0.35">
      <c r="A1953" t="s">
        <v>3547</v>
      </c>
      <c r="B1953" s="1">
        <v>45998</v>
      </c>
      <c r="C1953" t="s">
        <v>2442</v>
      </c>
      <c r="D1953" t="s">
        <v>30</v>
      </c>
      <c r="E1953" t="s">
        <v>76</v>
      </c>
      <c r="F1953" t="s">
        <v>26</v>
      </c>
      <c r="G1953" t="s">
        <v>69</v>
      </c>
      <c r="H1953" t="s">
        <v>243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t="s">
        <v>22</v>
      </c>
    </row>
    <row r="1954" spans="1:15" x14ac:dyDescent="0.35">
      <c r="A1954" t="s">
        <v>3548</v>
      </c>
      <c r="B1954" s="1">
        <v>45998</v>
      </c>
      <c r="C1954" t="s">
        <v>3549</v>
      </c>
      <c r="D1954" t="s">
        <v>30</v>
      </c>
      <c r="E1954" t="s">
        <v>129</v>
      </c>
      <c r="F1954" t="s">
        <v>19</v>
      </c>
      <c r="G1954" t="s">
        <v>20</v>
      </c>
      <c r="H1954" t="s">
        <v>21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t="s">
        <v>22</v>
      </c>
    </row>
    <row r="1955" spans="1:15" x14ac:dyDescent="0.35">
      <c r="A1955" t="s">
        <v>3550</v>
      </c>
      <c r="B1955" s="1">
        <v>45998</v>
      </c>
      <c r="C1955" t="s">
        <v>3551</v>
      </c>
      <c r="D1955" t="s">
        <v>49</v>
      </c>
      <c r="E1955" t="s">
        <v>148</v>
      </c>
      <c r="F1955" t="s">
        <v>60</v>
      </c>
      <c r="G1955" t="s">
        <v>32</v>
      </c>
      <c r="H1955" t="s">
        <v>149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t="s">
        <v>39</v>
      </c>
    </row>
    <row r="1956" spans="1:15" x14ac:dyDescent="0.35">
      <c r="A1956" t="s">
        <v>3552</v>
      </c>
      <c r="B1956" s="1">
        <v>45999</v>
      </c>
      <c r="C1956" t="s">
        <v>946</v>
      </c>
      <c r="D1956" t="s">
        <v>17</v>
      </c>
      <c r="E1956" t="s">
        <v>53</v>
      </c>
      <c r="F1956" t="s">
        <v>54</v>
      </c>
      <c r="G1956" t="s">
        <v>32</v>
      </c>
      <c r="H1956" t="s">
        <v>82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t="s">
        <v>39</v>
      </c>
    </row>
    <row r="1957" spans="1:15" x14ac:dyDescent="0.35">
      <c r="A1957" t="s">
        <v>3553</v>
      </c>
      <c r="B1957" s="1">
        <v>45999</v>
      </c>
      <c r="C1957" t="s">
        <v>1056</v>
      </c>
      <c r="D1957" t="s">
        <v>17</v>
      </c>
      <c r="E1957" t="s">
        <v>53</v>
      </c>
      <c r="F1957" t="s">
        <v>54</v>
      </c>
      <c r="G1957" t="s">
        <v>42</v>
      </c>
      <c r="H1957" t="s">
        <v>255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t="s">
        <v>34</v>
      </c>
    </row>
    <row r="1958" spans="1:15" x14ac:dyDescent="0.35">
      <c r="A1958" t="s">
        <v>3554</v>
      </c>
      <c r="B1958" s="1">
        <v>46000</v>
      </c>
      <c r="C1958" t="s">
        <v>672</v>
      </c>
      <c r="D1958" t="s">
        <v>49</v>
      </c>
      <c r="E1958" t="s">
        <v>18</v>
      </c>
      <c r="F1958" t="s">
        <v>19</v>
      </c>
      <c r="G1958" t="s">
        <v>20</v>
      </c>
      <c r="H1958" t="s">
        <v>27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t="s">
        <v>34</v>
      </c>
    </row>
    <row r="1959" spans="1:15" x14ac:dyDescent="0.35">
      <c r="A1959" t="s">
        <v>3555</v>
      </c>
      <c r="B1959" s="1">
        <v>46000</v>
      </c>
      <c r="C1959" t="s">
        <v>3237</v>
      </c>
      <c r="D1959" t="s">
        <v>49</v>
      </c>
      <c r="E1959" t="s">
        <v>25</v>
      </c>
      <c r="F1959" t="s">
        <v>26</v>
      </c>
      <c r="G1959" t="s">
        <v>42</v>
      </c>
      <c r="H1959" t="s">
        <v>46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t="s">
        <v>22</v>
      </c>
    </row>
    <row r="1960" spans="1:15" x14ac:dyDescent="0.35">
      <c r="A1960" t="s">
        <v>3556</v>
      </c>
      <c r="B1960" s="1">
        <v>46000</v>
      </c>
      <c r="C1960" t="s">
        <v>567</v>
      </c>
      <c r="D1960" t="s">
        <v>30</v>
      </c>
      <c r="E1960" t="s">
        <v>25</v>
      </c>
      <c r="F1960" t="s">
        <v>26</v>
      </c>
      <c r="G1960" t="s">
        <v>20</v>
      </c>
      <c r="H1960" t="s">
        <v>175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t="s">
        <v>22</v>
      </c>
    </row>
    <row r="1961" spans="1:15" x14ac:dyDescent="0.35">
      <c r="A1961" t="s">
        <v>3557</v>
      </c>
      <c r="B1961" s="1">
        <v>46001</v>
      </c>
      <c r="C1961" t="s">
        <v>3558</v>
      </c>
      <c r="D1961" t="s">
        <v>17</v>
      </c>
      <c r="E1961" t="s">
        <v>138</v>
      </c>
      <c r="F1961" t="s">
        <v>54</v>
      </c>
      <c r="G1961" t="s">
        <v>20</v>
      </c>
      <c r="H1961" t="s">
        <v>122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t="s">
        <v>34</v>
      </c>
    </row>
    <row r="1962" spans="1:15" x14ac:dyDescent="0.35">
      <c r="A1962" t="s">
        <v>3559</v>
      </c>
      <c r="B1962" s="1">
        <v>46001</v>
      </c>
      <c r="C1962" t="s">
        <v>665</v>
      </c>
      <c r="D1962" t="s">
        <v>17</v>
      </c>
      <c r="E1962" t="s">
        <v>169</v>
      </c>
      <c r="F1962" t="s">
        <v>68</v>
      </c>
      <c r="G1962" t="s">
        <v>42</v>
      </c>
      <c r="H1962" t="s">
        <v>46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t="s">
        <v>34</v>
      </c>
    </row>
    <row r="1963" spans="1:15" x14ac:dyDescent="0.35">
      <c r="A1963" t="s">
        <v>3560</v>
      </c>
      <c r="B1963" s="1">
        <v>46002</v>
      </c>
      <c r="C1963" t="s">
        <v>3561</v>
      </c>
      <c r="D1963" t="s">
        <v>49</v>
      </c>
      <c r="E1963" t="s">
        <v>135</v>
      </c>
      <c r="F1963" t="s">
        <v>26</v>
      </c>
      <c r="G1963" t="s">
        <v>42</v>
      </c>
      <c r="H1963" t="s">
        <v>89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t="s">
        <v>34</v>
      </c>
    </row>
    <row r="1964" spans="1:15" x14ac:dyDescent="0.35">
      <c r="A1964" t="s">
        <v>3562</v>
      </c>
      <c r="B1964" s="1">
        <v>46002</v>
      </c>
      <c r="C1964" t="s">
        <v>3563</v>
      </c>
      <c r="D1964" t="s">
        <v>17</v>
      </c>
      <c r="E1964" t="s">
        <v>31</v>
      </c>
      <c r="F1964" t="s">
        <v>19</v>
      </c>
      <c r="G1964" t="s">
        <v>20</v>
      </c>
      <c r="H1964" t="s">
        <v>199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t="s">
        <v>34</v>
      </c>
    </row>
    <row r="1965" spans="1:15" x14ac:dyDescent="0.35">
      <c r="A1965" t="s">
        <v>3564</v>
      </c>
      <c r="B1965" s="1">
        <v>46003</v>
      </c>
      <c r="C1965" t="s">
        <v>3565</v>
      </c>
      <c r="D1965" t="s">
        <v>30</v>
      </c>
      <c r="E1965" t="s">
        <v>85</v>
      </c>
      <c r="F1965" t="s">
        <v>60</v>
      </c>
      <c r="G1965" t="s">
        <v>42</v>
      </c>
      <c r="H1965" t="s">
        <v>255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t="s">
        <v>39</v>
      </c>
    </row>
    <row r="1966" spans="1:15" x14ac:dyDescent="0.35">
      <c r="A1966" t="s">
        <v>3566</v>
      </c>
      <c r="B1966" s="1">
        <v>46005</v>
      </c>
      <c r="C1966" t="s">
        <v>3567</v>
      </c>
      <c r="D1966" t="s">
        <v>30</v>
      </c>
      <c r="E1966" t="s">
        <v>31</v>
      </c>
      <c r="F1966" t="s">
        <v>19</v>
      </c>
      <c r="G1966" t="s">
        <v>32</v>
      </c>
      <c r="H1966" t="s">
        <v>101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t="s">
        <v>22</v>
      </c>
    </row>
    <row r="1967" spans="1:15" x14ac:dyDescent="0.35">
      <c r="A1967" t="s">
        <v>3568</v>
      </c>
      <c r="B1967" s="1">
        <v>46006</v>
      </c>
      <c r="C1967" t="s">
        <v>1356</v>
      </c>
      <c r="D1967" t="s">
        <v>30</v>
      </c>
      <c r="E1967" t="s">
        <v>92</v>
      </c>
      <c r="F1967" t="s">
        <v>60</v>
      </c>
      <c r="G1967" t="s">
        <v>32</v>
      </c>
      <c r="H1967" t="s">
        <v>50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t="s">
        <v>22</v>
      </c>
    </row>
    <row r="1968" spans="1:15" x14ac:dyDescent="0.35">
      <c r="A1968" t="s">
        <v>3569</v>
      </c>
      <c r="B1968" s="1">
        <v>46006</v>
      </c>
      <c r="C1968" t="s">
        <v>481</v>
      </c>
      <c r="D1968" t="s">
        <v>30</v>
      </c>
      <c r="E1968" t="s">
        <v>138</v>
      </c>
      <c r="F1968" t="s">
        <v>54</v>
      </c>
      <c r="G1968" t="s">
        <v>42</v>
      </c>
      <c r="H1968" t="s">
        <v>371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t="s">
        <v>56</v>
      </c>
    </row>
    <row r="1969" spans="1:15" x14ac:dyDescent="0.35">
      <c r="A1969" t="s">
        <v>3570</v>
      </c>
      <c r="B1969" s="1">
        <v>46006</v>
      </c>
      <c r="C1969" t="s">
        <v>3571</v>
      </c>
      <c r="D1969" t="s">
        <v>49</v>
      </c>
      <c r="E1969" t="s">
        <v>31</v>
      </c>
      <c r="F1969" t="s">
        <v>19</v>
      </c>
      <c r="G1969" t="s">
        <v>32</v>
      </c>
      <c r="H1969" t="s">
        <v>110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t="s">
        <v>22</v>
      </c>
    </row>
    <row r="1970" spans="1:15" x14ac:dyDescent="0.35">
      <c r="A1970" t="s">
        <v>3572</v>
      </c>
      <c r="B1970" s="1">
        <v>46007</v>
      </c>
      <c r="C1970" t="s">
        <v>3573</v>
      </c>
      <c r="D1970" t="s">
        <v>17</v>
      </c>
      <c r="E1970" t="s">
        <v>135</v>
      </c>
      <c r="F1970" t="s">
        <v>26</v>
      </c>
      <c r="G1970" t="s">
        <v>32</v>
      </c>
      <c r="H1970" t="s">
        <v>73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t="s">
        <v>34</v>
      </c>
    </row>
    <row r="1971" spans="1:15" x14ac:dyDescent="0.35">
      <c r="A1971" t="s">
        <v>3574</v>
      </c>
      <c r="B1971" s="1">
        <v>46007</v>
      </c>
      <c r="C1971" t="s">
        <v>678</v>
      </c>
      <c r="D1971" t="s">
        <v>30</v>
      </c>
      <c r="E1971" t="s">
        <v>92</v>
      </c>
      <c r="F1971" t="s">
        <v>60</v>
      </c>
      <c r="G1971" t="s">
        <v>32</v>
      </c>
      <c r="H1971" t="s">
        <v>33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t="s">
        <v>34</v>
      </c>
    </row>
    <row r="1972" spans="1:15" x14ac:dyDescent="0.35">
      <c r="A1972" t="s">
        <v>3575</v>
      </c>
      <c r="B1972" s="1">
        <v>46007</v>
      </c>
      <c r="C1972" t="s">
        <v>3576</v>
      </c>
      <c r="D1972" t="s">
        <v>17</v>
      </c>
      <c r="E1972" t="s">
        <v>148</v>
      </c>
      <c r="F1972" t="s">
        <v>60</v>
      </c>
      <c r="G1972" t="s">
        <v>42</v>
      </c>
      <c r="H1972" t="s">
        <v>46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t="s">
        <v>22</v>
      </c>
    </row>
    <row r="1973" spans="1:15" x14ac:dyDescent="0.35">
      <c r="A1973" t="s">
        <v>3577</v>
      </c>
      <c r="B1973" s="1">
        <v>46008</v>
      </c>
      <c r="C1973" t="s">
        <v>3578</v>
      </c>
      <c r="D1973" t="s">
        <v>30</v>
      </c>
      <c r="E1973" t="s">
        <v>25</v>
      </c>
      <c r="F1973" t="s">
        <v>26</v>
      </c>
      <c r="G1973" t="s">
        <v>20</v>
      </c>
      <c r="H1973" t="s">
        <v>175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t="s">
        <v>34</v>
      </c>
    </row>
    <row r="1974" spans="1:15" x14ac:dyDescent="0.35">
      <c r="A1974" t="s">
        <v>3579</v>
      </c>
      <c r="B1974" s="1">
        <v>46008</v>
      </c>
      <c r="C1974" t="s">
        <v>3580</v>
      </c>
      <c r="D1974" t="s">
        <v>30</v>
      </c>
      <c r="E1974" t="s">
        <v>53</v>
      </c>
      <c r="F1974" t="s">
        <v>54</v>
      </c>
      <c r="G1974" t="s">
        <v>20</v>
      </c>
      <c r="H1974" t="s">
        <v>199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t="s">
        <v>22</v>
      </c>
    </row>
    <row r="1975" spans="1:15" x14ac:dyDescent="0.35">
      <c r="A1975" t="s">
        <v>3581</v>
      </c>
      <c r="B1975" s="1">
        <v>46009</v>
      </c>
      <c r="C1975" t="s">
        <v>3582</v>
      </c>
      <c r="D1975" t="s">
        <v>49</v>
      </c>
      <c r="E1975" t="s">
        <v>18</v>
      </c>
      <c r="F1975" t="s">
        <v>19</v>
      </c>
      <c r="G1975" t="s">
        <v>20</v>
      </c>
      <c r="H1975" t="s">
        <v>170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t="s">
        <v>39</v>
      </c>
    </row>
    <row r="1976" spans="1:15" x14ac:dyDescent="0.35">
      <c r="A1976" t="s">
        <v>3583</v>
      </c>
      <c r="B1976" s="1">
        <v>46010</v>
      </c>
      <c r="C1976" t="s">
        <v>3584</v>
      </c>
      <c r="D1976" t="s">
        <v>17</v>
      </c>
      <c r="E1976" t="s">
        <v>129</v>
      </c>
      <c r="F1976" t="s">
        <v>19</v>
      </c>
      <c r="G1976" t="s">
        <v>69</v>
      </c>
      <c r="H1976" t="s">
        <v>163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t="s">
        <v>56</v>
      </c>
    </row>
    <row r="1977" spans="1:15" x14ac:dyDescent="0.35">
      <c r="A1977" t="s">
        <v>3585</v>
      </c>
      <c r="B1977" s="1">
        <v>46010</v>
      </c>
      <c r="C1977" t="s">
        <v>3586</v>
      </c>
      <c r="D1977" t="s">
        <v>30</v>
      </c>
      <c r="E1977" t="s">
        <v>37</v>
      </c>
      <c r="F1977" t="s">
        <v>26</v>
      </c>
      <c r="G1977" t="s">
        <v>42</v>
      </c>
      <c r="H1977" t="s">
        <v>64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t="s">
        <v>22</v>
      </c>
    </row>
    <row r="1978" spans="1:15" x14ac:dyDescent="0.35">
      <c r="A1978" t="s">
        <v>3587</v>
      </c>
      <c r="B1978" s="1">
        <v>46012</v>
      </c>
      <c r="C1978" t="s">
        <v>1131</v>
      </c>
      <c r="D1978" t="s">
        <v>49</v>
      </c>
      <c r="E1978" t="s">
        <v>37</v>
      </c>
      <c r="F1978" t="s">
        <v>26</v>
      </c>
      <c r="G1978" t="s">
        <v>20</v>
      </c>
      <c r="H1978" t="s">
        <v>21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t="s">
        <v>22</v>
      </c>
    </row>
    <row r="1979" spans="1:15" x14ac:dyDescent="0.35">
      <c r="A1979" t="s">
        <v>3588</v>
      </c>
      <c r="B1979" s="1">
        <v>46012</v>
      </c>
      <c r="C1979" t="s">
        <v>3589</v>
      </c>
      <c r="D1979" t="s">
        <v>30</v>
      </c>
      <c r="E1979" t="s">
        <v>31</v>
      </c>
      <c r="F1979" t="s">
        <v>19</v>
      </c>
      <c r="G1979" t="s">
        <v>69</v>
      </c>
      <c r="H1979" t="s">
        <v>70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t="s">
        <v>39</v>
      </c>
    </row>
    <row r="1980" spans="1:15" x14ac:dyDescent="0.35">
      <c r="A1980" t="s">
        <v>3590</v>
      </c>
      <c r="B1980" s="1">
        <v>46013</v>
      </c>
      <c r="C1980" t="s">
        <v>1317</v>
      </c>
      <c r="D1980" t="s">
        <v>17</v>
      </c>
      <c r="E1980" t="s">
        <v>85</v>
      </c>
      <c r="F1980" t="s">
        <v>60</v>
      </c>
      <c r="G1980" t="s">
        <v>20</v>
      </c>
      <c r="H1980" t="s">
        <v>199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t="s">
        <v>39</v>
      </c>
    </row>
    <row r="1981" spans="1:15" x14ac:dyDescent="0.35">
      <c r="A1981" t="s">
        <v>3591</v>
      </c>
      <c r="B1981" s="1">
        <v>46013</v>
      </c>
      <c r="C1981" t="s">
        <v>3592</v>
      </c>
      <c r="D1981" t="s">
        <v>30</v>
      </c>
      <c r="E1981" t="s">
        <v>63</v>
      </c>
      <c r="F1981" t="s">
        <v>54</v>
      </c>
      <c r="G1981" t="s">
        <v>20</v>
      </c>
      <c r="H1981" t="s">
        <v>122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t="s">
        <v>22</v>
      </c>
    </row>
    <row r="1982" spans="1:15" x14ac:dyDescent="0.35">
      <c r="A1982" t="s">
        <v>3593</v>
      </c>
      <c r="B1982" s="1">
        <v>46014</v>
      </c>
      <c r="C1982" t="s">
        <v>3166</v>
      </c>
      <c r="D1982" t="s">
        <v>30</v>
      </c>
      <c r="E1982" t="s">
        <v>248</v>
      </c>
      <c r="F1982" t="s">
        <v>26</v>
      </c>
      <c r="G1982" t="s">
        <v>42</v>
      </c>
      <c r="H1982" t="s">
        <v>234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t="s">
        <v>56</v>
      </c>
    </row>
    <row r="1983" spans="1:15" x14ac:dyDescent="0.35">
      <c r="A1983" t="s">
        <v>3594</v>
      </c>
      <c r="B1983" s="1">
        <v>46014</v>
      </c>
      <c r="C1983" t="s">
        <v>3595</v>
      </c>
      <c r="D1983" t="s">
        <v>30</v>
      </c>
      <c r="E1983" t="s">
        <v>248</v>
      </c>
      <c r="F1983" t="s">
        <v>26</v>
      </c>
      <c r="G1983" t="s">
        <v>69</v>
      </c>
      <c r="H1983" t="s">
        <v>86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t="s">
        <v>56</v>
      </c>
    </row>
    <row r="1984" spans="1:15" x14ac:dyDescent="0.35">
      <c r="A1984" t="s">
        <v>3596</v>
      </c>
      <c r="B1984" s="1">
        <v>46014</v>
      </c>
      <c r="C1984" t="s">
        <v>3597</v>
      </c>
      <c r="D1984" t="s">
        <v>30</v>
      </c>
      <c r="E1984" t="s">
        <v>129</v>
      </c>
      <c r="F1984" t="s">
        <v>19</v>
      </c>
      <c r="G1984" t="s">
        <v>32</v>
      </c>
      <c r="H1984" t="s">
        <v>149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t="s">
        <v>39</v>
      </c>
    </row>
    <row r="1985" spans="1:15" x14ac:dyDescent="0.35">
      <c r="A1985" t="s">
        <v>3598</v>
      </c>
      <c r="B1985" s="1">
        <v>46015</v>
      </c>
      <c r="C1985" t="s">
        <v>3599</v>
      </c>
      <c r="D1985" t="s">
        <v>49</v>
      </c>
      <c r="E1985" t="s">
        <v>166</v>
      </c>
      <c r="F1985" t="s">
        <v>60</v>
      </c>
      <c r="G1985" t="s">
        <v>20</v>
      </c>
      <c r="H1985" t="s">
        <v>27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t="s">
        <v>34</v>
      </c>
    </row>
    <row r="1986" spans="1:15" x14ac:dyDescent="0.35">
      <c r="A1986" t="s">
        <v>3600</v>
      </c>
      <c r="B1986" s="1">
        <v>46015</v>
      </c>
      <c r="C1986" t="s">
        <v>3601</v>
      </c>
      <c r="D1986" t="s">
        <v>30</v>
      </c>
      <c r="E1986" t="s">
        <v>53</v>
      </c>
      <c r="F1986" t="s">
        <v>54</v>
      </c>
      <c r="G1986" t="s">
        <v>69</v>
      </c>
      <c r="H1986" t="s">
        <v>160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t="s">
        <v>34</v>
      </c>
    </row>
    <row r="1987" spans="1:15" x14ac:dyDescent="0.35">
      <c r="A1987" t="s">
        <v>3602</v>
      </c>
      <c r="B1987" s="1">
        <v>46016</v>
      </c>
      <c r="C1987" t="s">
        <v>2076</v>
      </c>
      <c r="D1987" t="s">
        <v>30</v>
      </c>
      <c r="E1987" t="s">
        <v>109</v>
      </c>
      <c r="F1987" t="s">
        <v>54</v>
      </c>
      <c r="G1987" t="s">
        <v>20</v>
      </c>
      <c r="H1987" t="s">
        <v>21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t="s">
        <v>39</v>
      </c>
    </row>
    <row r="1988" spans="1:15" x14ac:dyDescent="0.35">
      <c r="A1988" t="s">
        <v>3603</v>
      </c>
      <c r="B1988" s="1">
        <v>46016</v>
      </c>
      <c r="C1988" t="s">
        <v>3604</v>
      </c>
      <c r="D1988" t="s">
        <v>49</v>
      </c>
      <c r="E1988" t="s">
        <v>148</v>
      </c>
      <c r="F1988" t="s">
        <v>60</v>
      </c>
      <c r="G1988" t="s">
        <v>69</v>
      </c>
      <c r="H1988" t="s">
        <v>79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t="s">
        <v>39</v>
      </c>
    </row>
    <row r="1989" spans="1:15" x14ac:dyDescent="0.35">
      <c r="A1989" t="s">
        <v>3605</v>
      </c>
      <c r="B1989" s="1">
        <v>46018</v>
      </c>
      <c r="C1989" t="s">
        <v>669</v>
      </c>
      <c r="D1989" t="s">
        <v>49</v>
      </c>
      <c r="E1989" t="s">
        <v>31</v>
      </c>
      <c r="F1989" t="s">
        <v>19</v>
      </c>
      <c r="G1989" t="s">
        <v>32</v>
      </c>
      <c r="H1989" t="s">
        <v>82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t="s">
        <v>39</v>
      </c>
    </row>
    <row r="1990" spans="1:15" x14ac:dyDescent="0.35">
      <c r="A1990" t="s">
        <v>3606</v>
      </c>
      <c r="B1990" s="1">
        <v>46019</v>
      </c>
      <c r="C1990" t="s">
        <v>3607</v>
      </c>
      <c r="D1990" t="s">
        <v>30</v>
      </c>
      <c r="E1990" t="s">
        <v>135</v>
      </c>
      <c r="F1990" t="s">
        <v>26</v>
      </c>
      <c r="G1990" t="s">
        <v>20</v>
      </c>
      <c r="H1990" t="s">
        <v>264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t="s">
        <v>34</v>
      </c>
    </row>
    <row r="1991" spans="1:15" x14ac:dyDescent="0.35">
      <c r="A1991" t="s">
        <v>3608</v>
      </c>
      <c r="B1991" s="1">
        <v>46019</v>
      </c>
      <c r="C1991" t="s">
        <v>2446</v>
      </c>
      <c r="D1991" t="s">
        <v>30</v>
      </c>
      <c r="E1991" t="s">
        <v>169</v>
      </c>
      <c r="F1991" t="s">
        <v>68</v>
      </c>
      <c r="G1991" t="s">
        <v>69</v>
      </c>
      <c r="H1991" t="s">
        <v>86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t="s">
        <v>39</v>
      </c>
    </row>
    <row r="1992" spans="1:15" x14ac:dyDescent="0.35">
      <c r="A1992" t="s">
        <v>3609</v>
      </c>
      <c r="B1992" s="1">
        <v>46020</v>
      </c>
      <c r="C1992" t="s">
        <v>3610</v>
      </c>
      <c r="D1992" t="s">
        <v>30</v>
      </c>
      <c r="E1992" t="s">
        <v>135</v>
      </c>
      <c r="F1992" t="s">
        <v>26</v>
      </c>
      <c r="G1992" t="s">
        <v>69</v>
      </c>
      <c r="H1992" t="s">
        <v>70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t="s">
        <v>56</v>
      </c>
    </row>
    <row r="1993" spans="1:15" x14ac:dyDescent="0.35">
      <c r="A1993" t="s">
        <v>3611</v>
      </c>
      <c r="B1993" s="1">
        <v>46020</v>
      </c>
      <c r="C1993" t="s">
        <v>1022</v>
      </c>
      <c r="D1993" t="s">
        <v>30</v>
      </c>
      <c r="E1993" t="s">
        <v>121</v>
      </c>
      <c r="F1993" t="s">
        <v>68</v>
      </c>
      <c r="G1993" t="s">
        <v>42</v>
      </c>
      <c r="H1993" t="s">
        <v>64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t="s">
        <v>39</v>
      </c>
    </row>
    <row r="1994" spans="1:15" x14ac:dyDescent="0.35">
      <c r="A1994" t="s">
        <v>3612</v>
      </c>
      <c r="B1994" s="1">
        <v>46021</v>
      </c>
      <c r="C1994" t="s">
        <v>3613</v>
      </c>
      <c r="D1994" t="s">
        <v>49</v>
      </c>
      <c r="E1994" t="s">
        <v>37</v>
      </c>
      <c r="F1994" t="s">
        <v>26</v>
      </c>
      <c r="G1994" t="s">
        <v>42</v>
      </c>
      <c r="H1994" t="s">
        <v>294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t="s">
        <v>39</v>
      </c>
    </row>
    <row r="1995" spans="1:15" x14ac:dyDescent="0.35">
      <c r="A1995" t="s">
        <v>3614</v>
      </c>
      <c r="B1995" s="1">
        <v>46021</v>
      </c>
      <c r="C1995" t="s">
        <v>1509</v>
      </c>
      <c r="D1995" t="s">
        <v>30</v>
      </c>
      <c r="E1995" t="s">
        <v>92</v>
      </c>
      <c r="F1995" t="s">
        <v>60</v>
      </c>
      <c r="G1995" t="s">
        <v>32</v>
      </c>
      <c r="H1995" t="s">
        <v>132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t="s">
        <v>39</v>
      </c>
    </row>
    <row r="1996" spans="1:15" x14ac:dyDescent="0.35">
      <c r="A1996" t="s">
        <v>3615</v>
      </c>
      <c r="B1996" s="1">
        <v>46021</v>
      </c>
      <c r="C1996" t="s">
        <v>3616</v>
      </c>
      <c r="D1996" t="s">
        <v>30</v>
      </c>
      <c r="E1996" t="s">
        <v>166</v>
      </c>
      <c r="F1996" t="s">
        <v>60</v>
      </c>
      <c r="G1996" t="s">
        <v>42</v>
      </c>
      <c r="H1996" t="s">
        <v>371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t="s">
        <v>39</v>
      </c>
    </row>
    <row r="1997" spans="1:15" x14ac:dyDescent="0.35">
      <c r="A1997" t="s">
        <v>3617</v>
      </c>
      <c r="B1997" s="1">
        <v>46022</v>
      </c>
      <c r="C1997" t="s">
        <v>3618</v>
      </c>
      <c r="D1997" t="s">
        <v>30</v>
      </c>
      <c r="E1997" t="s">
        <v>248</v>
      </c>
      <c r="F1997" t="s">
        <v>26</v>
      </c>
      <c r="G1997" t="s">
        <v>42</v>
      </c>
      <c r="H1997" t="s">
        <v>64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t="s">
        <v>39</v>
      </c>
    </row>
    <row r="1998" spans="1:15" x14ac:dyDescent="0.35">
      <c r="A1998" t="s">
        <v>3619</v>
      </c>
      <c r="B1998" s="1">
        <v>46022</v>
      </c>
      <c r="C1998" t="s">
        <v>3620</v>
      </c>
      <c r="D1998" t="s">
        <v>30</v>
      </c>
      <c r="E1998" t="s">
        <v>248</v>
      </c>
      <c r="F1998" t="s">
        <v>26</v>
      </c>
      <c r="G1998" t="s">
        <v>69</v>
      </c>
      <c r="H1998" t="s">
        <v>163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t="s">
        <v>39</v>
      </c>
    </row>
    <row r="1999" spans="1:15" x14ac:dyDescent="0.35">
      <c r="A1999" t="s">
        <v>3621</v>
      </c>
      <c r="B1999" s="1">
        <v>46022</v>
      </c>
      <c r="C1999" t="s">
        <v>873</v>
      </c>
      <c r="D1999" t="s">
        <v>30</v>
      </c>
      <c r="E1999" t="s">
        <v>25</v>
      </c>
      <c r="F1999" t="s">
        <v>26</v>
      </c>
      <c r="G1999" t="s">
        <v>20</v>
      </c>
      <c r="H1999" t="s">
        <v>38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t="s">
        <v>56</v>
      </c>
    </row>
    <row r="2000" spans="1:15" x14ac:dyDescent="0.35">
      <c r="A2000" t="s">
        <v>3622</v>
      </c>
      <c r="B2000" s="1">
        <v>46022</v>
      </c>
      <c r="C2000" t="s">
        <v>2426</v>
      </c>
      <c r="D2000" t="s">
        <v>49</v>
      </c>
      <c r="E2000" t="s">
        <v>25</v>
      </c>
      <c r="F2000" t="s">
        <v>26</v>
      </c>
      <c r="G2000" t="s">
        <v>69</v>
      </c>
      <c r="H2000" t="s">
        <v>196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t="s">
        <v>34</v>
      </c>
    </row>
    <row r="2001" spans="1:15" x14ac:dyDescent="0.35">
      <c r="A2001" t="s">
        <v>3623</v>
      </c>
      <c r="B2001" s="1">
        <v>46022</v>
      </c>
      <c r="C2001" t="s">
        <v>3624</v>
      </c>
      <c r="D2001" t="s">
        <v>49</v>
      </c>
      <c r="E2001" t="s">
        <v>148</v>
      </c>
      <c r="F2001" t="s">
        <v>60</v>
      </c>
      <c r="G2001" t="s">
        <v>69</v>
      </c>
      <c r="H2001" t="s">
        <v>196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29F6-F589-48B8-8813-FD88B80FDCB7}">
  <dimension ref="A3:B8"/>
  <sheetViews>
    <sheetView workbookViewId="0">
      <selection activeCell="O16" sqref="O16"/>
    </sheetView>
  </sheetViews>
  <sheetFormatPr defaultRowHeight="14.5" x14ac:dyDescent="0.35"/>
  <cols>
    <col min="1" max="1" width="19.6328125" bestFit="1" customWidth="1"/>
    <col min="2" max="2" width="16.6328125" bestFit="1" customWidth="1"/>
  </cols>
  <sheetData>
    <row r="3" spans="1:2" x14ac:dyDescent="0.35">
      <c r="A3" s="2" t="s">
        <v>3633</v>
      </c>
      <c r="B3" t="s">
        <v>3635</v>
      </c>
    </row>
    <row r="4" spans="1:2" x14ac:dyDescent="0.35">
      <c r="A4" s="3" t="s">
        <v>69</v>
      </c>
      <c r="B4" s="4">
        <v>69375.630000000077</v>
      </c>
    </row>
    <row r="5" spans="1:2" x14ac:dyDescent="0.35">
      <c r="A5" s="3" t="s">
        <v>42</v>
      </c>
      <c r="B5" s="4">
        <v>256274.68000000008</v>
      </c>
    </row>
    <row r="6" spans="1:2" x14ac:dyDescent="0.35">
      <c r="A6" s="3" t="s">
        <v>32</v>
      </c>
      <c r="B6" s="4">
        <v>19390.809999999994</v>
      </c>
    </row>
    <row r="7" spans="1:2" x14ac:dyDescent="0.35">
      <c r="A7" s="3" t="s">
        <v>20</v>
      </c>
      <c r="B7" s="4">
        <v>139518.22000000003</v>
      </c>
    </row>
    <row r="8" spans="1:2" x14ac:dyDescent="0.35">
      <c r="A8" s="3" t="s">
        <v>3634</v>
      </c>
      <c r="B8" s="4">
        <v>484559.3400000002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2DE8-9A58-41A3-B98A-154DEC9487AB}">
  <dimension ref="A3:B8"/>
  <sheetViews>
    <sheetView workbookViewId="0">
      <selection activeCell="F23" sqref="F23"/>
    </sheetView>
  </sheetViews>
  <sheetFormatPr defaultRowHeight="14.5" x14ac:dyDescent="0.35"/>
  <cols>
    <col min="1" max="1" width="19.6328125" bestFit="1" customWidth="1"/>
    <col min="2" max="2" width="11.81640625" bestFit="1" customWidth="1"/>
  </cols>
  <sheetData>
    <row r="3" spans="1:2" x14ac:dyDescent="0.35">
      <c r="A3" s="2" t="s">
        <v>3633</v>
      </c>
      <c r="B3" t="s">
        <v>3636</v>
      </c>
    </row>
    <row r="4" spans="1:2" x14ac:dyDescent="0.35">
      <c r="A4" s="3" t="s">
        <v>69</v>
      </c>
      <c r="B4" s="4">
        <v>26112.940000000006</v>
      </c>
    </row>
    <row r="5" spans="1:2" x14ac:dyDescent="0.35">
      <c r="A5" s="3" t="s">
        <v>42</v>
      </c>
      <c r="B5" s="4">
        <v>81171.570000000051</v>
      </c>
    </row>
    <row r="6" spans="1:2" x14ac:dyDescent="0.35">
      <c r="A6" s="3" t="s">
        <v>32</v>
      </c>
      <c r="B6" s="4">
        <v>3319.1599999999953</v>
      </c>
    </row>
    <row r="7" spans="1:2" x14ac:dyDescent="0.35">
      <c r="A7" s="3" t="s">
        <v>20</v>
      </c>
      <c r="B7" s="4">
        <v>48268.650000000038</v>
      </c>
    </row>
    <row r="8" spans="1:2" x14ac:dyDescent="0.35">
      <c r="A8" s="3" t="s">
        <v>3634</v>
      </c>
      <c r="B8" s="4">
        <v>158872.32000000007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1C1A-AAA9-469B-8273-A611E8898EB1}">
  <dimension ref="A3:C9"/>
  <sheetViews>
    <sheetView workbookViewId="0">
      <selection activeCell="N1" sqref="N1"/>
    </sheetView>
  </sheetViews>
  <sheetFormatPr defaultRowHeight="14.5" x14ac:dyDescent="0.35"/>
  <cols>
    <col min="1" max="1" width="17.81640625" bestFit="1" customWidth="1"/>
    <col min="2" max="2" width="16.6328125" bestFit="1" customWidth="1"/>
    <col min="3" max="3" width="11.81640625" bestFit="1" customWidth="1"/>
  </cols>
  <sheetData>
    <row r="3" spans="1:3" x14ac:dyDescent="0.35">
      <c r="A3" s="2" t="s">
        <v>3633</v>
      </c>
      <c r="B3" t="s">
        <v>3635</v>
      </c>
      <c r="C3" t="s">
        <v>3636</v>
      </c>
    </row>
    <row r="4" spans="1:3" x14ac:dyDescent="0.35">
      <c r="A4" s="3" t="s">
        <v>26</v>
      </c>
      <c r="B4" s="4">
        <v>137006.19999999998</v>
      </c>
      <c r="C4" s="4">
        <v>45672.160000000054</v>
      </c>
    </row>
    <row r="5" spans="1:3" x14ac:dyDescent="0.35">
      <c r="A5" s="3" t="s">
        <v>19</v>
      </c>
      <c r="B5" s="4">
        <v>133876.37999999986</v>
      </c>
      <c r="C5" s="4">
        <v>45250.089999999967</v>
      </c>
    </row>
    <row r="6" spans="1:3" x14ac:dyDescent="0.35">
      <c r="A6" s="3" t="s">
        <v>60</v>
      </c>
      <c r="B6" s="4">
        <v>121707.51000000013</v>
      </c>
      <c r="C6" s="4">
        <v>39116.609999999979</v>
      </c>
    </row>
    <row r="7" spans="1:3" x14ac:dyDescent="0.35">
      <c r="A7" s="3" t="s">
        <v>68</v>
      </c>
      <c r="B7" s="4">
        <v>46051.12999999999</v>
      </c>
      <c r="C7" s="4">
        <v>14680.979999999992</v>
      </c>
    </row>
    <row r="8" spans="1:3" x14ac:dyDescent="0.35">
      <c r="A8" s="3" t="s">
        <v>54</v>
      </c>
      <c r="B8" s="4">
        <v>45918.119999999988</v>
      </c>
      <c r="C8" s="4">
        <v>14152.479999999996</v>
      </c>
    </row>
    <row r="9" spans="1:3" x14ac:dyDescent="0.35">
      <c r="A9" s="3" t="s">
        <v>3634</v>
      </c>
      <c r="B9" s="4">
        <v>484559.33999999997</v>
      </c>
      <c r="C9" s="4">
        <v>158872.31999999998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1433-4923-4BC7-9346-D0343D03AECD}">
  <dimension ref="A3:C24"/>
  <sheetViews>
    <sheetView topLeftCell="A3" workbookViewId="0">
      <selection activeCell="N3" sqref="N3"/>
    </sheetView>
  </sheetViews>
  <sheetFormatPr defaultRowHeight="14.5" x14ac:dyDescent="0.35"/>
  <cols>
    <col min="1" max="1" width="14.1796875" bestFit="1" customWidth="1"/>
    <col min="2" max="2" width="16.6328125" bestFit="1" customWidth="1"/>
    <col min="3" max="3" width="11.81640625" bestFit="1" customWidth="1"/>
  </cols>
  <sheetData>
    <row r="3" spans="1:3" x14ac:dyDescent="0.35">
      <c r="A3" s="2" t="s">
        <v>3633</v>
      </c>
      <c r="B3" t="s">
        <v>3635</v>
      </c>
      <c r="C3" t="s">
        <v>3636</v>
      </c>
    </row>
    <row r="4" spans="1:3" x14ac:dyDescent="0.35">
      <c r="A4" s="3" t="s">
        <v>31</v>
      </c>
      <c r="B4" s="4">
        <v>47217.30000000001</v>
      </c>
      <c r="C4" s="4">
        <v>15949.440000000002</v>
      </c>
    </row>
    <row r="5" spans="1:3" x14ac:dyDescent="0.35">
      <c r="A5" s="3" t="s">
        <v>129</v>
      </c>
      <c r="B5" s="4">
        <v>45326.549999999996</v>
      </c>
      <c r="C5" s="4">
        <v>15320.950000000004</v>
      </c>
    </row>
    <row r="6" spans="1:3" x14ac:dyDescent="0.35">
      <c r="A6" s="3" t="s">
        <v>18</v>
      </c>
      <c r="B6" s="4">
        <v>41332.530000000028</v>
      </c>
      <c r="C6" s="4">
        <v>13979.699999999999</v>
      </c>
    </row>
    <row r="7" spans="1:3" x14ac:dyDescent="0.35">
      <c r="A7" s="3" t="s">
        <v>85</v>
      </c>
      <c r="B7" s="4">
        <v>30950.189999999984</v>
      </c>
      <c r="C7" s="4">
        <v>9826.31</v>
      </c>
    </row>
    <row r="8" spans="1:3" x14ac:dyDescent="0.35">
      <c r="A8" s="3" t="s">
        <v>76</v>
      </c>
      <c r="B8" s="4">
        <v>30185.459999999995</v>
      </c>
      <c r="C8" s="4">
        <v>10185.32</v>
      </c>
    </row>
    <row r="9" spans="1:3" x14ac:dyDescent="0.35">
      <c r="A9" s="3" t="s">
        <v>135</v>
      </c>
      <c r="B9" s="4">
        <v>28989.73000000001</v>
      </c>
      <c r="C9" s="4">
        <v>9518.0699999999961</v>
      </c>
    </row>
    <row r="10" spans="1:3" x14ac:dyDescent="0.35">
      <c r="A10" s="3" t="s">
        <v>59</v>
      </c>
      <c r="B10" s="4">
        <v>28322.849999999995</v>
      </c>
      <c r="C10" s="4">
        <v>9028.0699999999979</v>
      </c>
    </row>
    <row r="11" spans="1:3" x14ac:dyDescent="0.35">
      <c r="A11" s="3" t="s">
        <v>37</v>
      </c>
      <c r="B11" s="4">
        <v>27484.380000000008</v>
      </c>
      <c r="C11" s="4">
        <v>9125.0600000000013</v>
      </c>
    </row>
    <row r="12" spans="1:3" x14ac:dyDescent="0.35">
      <c r="A12" s="3" t="s">
        <v>248</v>
      </c>
      <c r="B12" s="4">
        <v>26616.810000000005</v>
      </c>
      <c r="C12" s="4">
        <v>8973.4600000000028</v>
      </c>
    </row>
    <row r="13" spans="1:3" x14ac:dyDescent="0.35">
      <c r="A13" s="3" t="s">
        <v>92</v>
      </c>
      <c r="B13" s="4">
        <v>25287.72</v>
      </c>
      <c r="C13" s="4">
        <v>8072.3700000000008</v>
      </c>
    </row>
    <row r="14" spans="1:3" x14ac:dyDescent="0.35">
      <c r="A14" s="3" t="s">
        <v>25</v>
      </c>
      <c r="B14" s="4">
        <v>23729.820000000003</v>
      </c>
      <c r="C14" s="4">
        <v>7870.2499999999973</v>
      </c>
    </row>
    <row r="15" spans="1:3" x14ac:dyDescent="0.35">
      <c r="A15" s="3" t="s">
        <v>148</v>
      </c>
      <c r="B15" s="4">
        <v>18745.209999999992</v>
      </c>
      <c r="C15" s="4">
        <v>6124.0700000000006</v>
      </c>
    </row>
    <row r="16" spans="1:3" x14ac:dyDescent="0.35">
      <c r="A16" s="3" t="s">
        <v>169</v>
      </c>
      <c r="B16" s="4">
        <v>18473.969999999998</v>
      </c>
      <c r="C16" s="4">
        <v>5869.6300000000028</v>
      </c>
    </row>
    <row r="17" spans="1:3" x14ac:dyDescent="0.35">
      <c r="A17" s="3" t="s">
        <v>166</v>
      </c>
      <c r="B17" s="4">
        <v>18401.540000000008</v>
      </c>
      <c r="C17" s="4">
        <v>6065.7900000000027</v>
      </c>
    </row>
    <row r="18" spans="1:3" x14ac:dyDescent="0.35">
      <c r="A18" s="3" t="s">
        <v>121</v>
      </c>
      <c r="B18" s="4">
        <v>17717</v>
      </c>
      <c r="C18" s="4">
        <v>5731.0599999999959</v>
      </c>
    </row>
    <row r="19" spans="1:3" x14ac:dyDescent="0.35">
      <c r="A19" s="3" t="s">
        <v>63</v>
      </c>
      <c r="B19" s="4">
        <v>13680.219999999998</v>
      </c>
      <c r="C19" s="4">
        <v>4276.09</v>
      </c>
    </row>
    <row r="20" spans="1:3" x14ac:dyDescent="0.35">
      <c r="A20" s="3" t="s">
        <v>138</v>
      </c>
      <c r="B20" s="4">
        <v>13564.800000000003</v>
      </c>
      <c r="C20" s="4">
        <v>4072.5900000000006</v>
      </c>
    </row>
    <row r="21" spans="1:3" x14ac:dyDescent="0.35">
      <c r="A21" s="3" t="s">
        <v>53</v>
      </c>
      <c r="B21" s="4">
        <v>9899.9100000000017</v>
      </c>
      <c r="C21" s="4">
        <v>3031.6099999999997</v>
      </c>
    </row>
    <row r="22" spans="1:3" x14ac:dyDescent="0.35">
      <c r="A22" s="3" t="s">
        <v>67</v>
      </c>
      <c r="B22" s="4">
        <v>9860.1599999999962</v>
      </c>
      <c r="C22" s="4">
        <v>3080.29</v>
      </c>
    </row>
    <row r="23" spans="1:3" x14ac:dyDescent="0.35">
      <c r="A23" s="3" t="s">
        <v>109</v>
      </c>
      <c r="B23" s="4">
        <v>8773.19</v>
      </c>
      <c r="C23" s="4">
        <v>2772.1899999999991</v>
      </c>
    </row>
    <row r="24" spans="1:3" x14ac:dyDescent="0.35">
      <c r="A24" s="3" t="s">
        <v>3634</v>
      </c>
      <c r="B24" s="4">
        <v>484559.34</v>
      </c>
      <c r="C24" s="4">
        <v>158872.32000000001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A281-74C5-4767-9094-CF824F380E6B}">
  <dimension ref="A3:C7"/>
  <sheetViews>
    <sheetView workbookViewId="0">
      <selection activeCell="B18" sqref="B18"/>
    </sheetView>
  </sheetViews>
  <sheetFormatPr defaultRowHeight="14.5" x14ac:dyDescent="0.35"/>
  <cols>
    <col min="1" max="1" width="12.36328125" bestFit="1" customWidth="1"/>
    <col min="2" max="2" width="16.6328125" bestFit="1" customWidth="1"/>
    <col min="3" max="3" width="11.81640625" bestFit="1" customWidth="1"/>
  </cols>
  <sheetData>
    <row r="3" spans="1:3" x14ac:dyDescent="0.35">
      <c r="A3" s="2" t="s">
        <v>3633</v>
      </c>
      <c r="B3" t="s">
        <v>3635</v>
      </c>
      <c r="C3" t="s">
        <v>3636</v>
      </c>
    </row>
    <row r="4" spans="1:3" x14ac:dyDescent="0.35">
      <c r="A4" s="3" t="s">
        <v>30</v>
      </c>
      <c r="B4" s="4">
        <v>256287.74</v>
      </c>
      <c r="C4" s="4">
        <v>87300.360000000175</v>
      </c>
    </row>
    <row r="5" spans="1:3" x14ac:dyDescent="0.35">
      <c r="A5" s="3" t="s">
        <v>17</v>
      </c>
      <c r="B5" s="4">
        <v>146050.38999999996</v>
      </c>
      <c r="C5" s="4">
        <v>44463.44</v>
      </c>
    </row>
    <row r="6" spans="1:3" x14ac:dyDescent="0.35">
      <c r="A6" s="3" t="s">
        <v>49</v>
      </c>
      <c r="B6" s="4">
        <v>82221.209999999977</v>
      </c>
      <c r="C6" s="4">
        <v>27108.520000000022</v>
      </c>
    </row>
    <row r="7" spans="1:3" x14ac:dyDescent="0.35">
      <c r="A7" s="3" t="s">
        <v>3634</v>
      </c>
      <c r="B7" s="4">
        <v>484559.33999999991</v>
      </c>
      <c r="C7" s="4">
        <v>158872.32000000018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E67F-5D74-4C78-9E68-6B5667CD9719}">
  <dimension ref="A3:B14"/>
  <sheetViews>
    <sheetView workbookViewId="0">
      <selection activeCell="C6" sqref="C6"/>
    </sheetView>
  </sheetViews>
  <sheetFormatPr defaultRowHeight="14.5" x14ac:dyDescent="0.35"/>
  <cols>
    <col min="1" max="1" width="27.90625" bestFit="1" customWidth="1"/>
    <col min="2" max="2" width="16.6328125" bestFit="1" customWidth="1"/>
    <col min="3" max="3" width="11.81640625" bestFit="1" customWidth="1"/>
  </cols>
  <sheetData>
    <row r="3" spans="1:2" x14ac:dyDescent="0.35">
      <c r="A3" s="2" t="s">
        <v>3633</v>
      </c>
      <c r="B3" t="s">
        <v>3635</v>
      </c>
    </row>
    <row r="4" spans="1:2" x14ac:dyDescent="0.35">
      <c r="A4" s="3" t="s">
        <v>43</v>
      </c>
      <c r="B4" s="4">
        <v>46614.219999999972</v>
      </c>
    </row>
    <row r="5" spans="1:2" x14ac:dyDescent="0.35">
      <c r="A5" s="3" t="s">
        <v>93</v>
      </c>
      <c r="B5" s="4">
        <v>45405.15</v>
      </c>
    </row>
    <row r="6" spans="1:2" x14ac:dyDescent="0.35">
      <c r="A6" s="3" t="s">
        <v>89</v>
      </c>
      <c r="B6" s="4">
        <v>41070.479999999989</v>
      </c>
    </row>
    <row r="7" spans="1:2" x14ac:dyDescent="0.35">
      <c r="A7" s="3" t="s">
        <v>294</v>
      </c>
      <c r="B7" s="4">
        <v>38179.76999999999</v>
      </c>
    </row>
    <row r="8" spans="1:2" x14ac:dyDescent="0.35">
      <c r="A8" s="3" t="s">
        <v>21</v>
      </c>
      <c r="B8" s="4">
        <v>28258.700000000008</v>
      </c>
    </row>
    <row r="9" spans="1:2" x14ac:dyDescent="0.35">
      <c r="A9" s="3" t="s">
        <v>27</v>
      </c>
      <c r="B9" s="4">
        <v>24072.42</v>
      </c>
    </row>
    <row r="10" spans="1:2" x14ac:dyDescent="0.35">
      <c r="A10" s="3" t="s">
        <v>371</v>
      </c>
      <c r="B10" s="4">
        <v>23108.010000000002</v>
      </c>
    </row>
    <row r="11" spans="1:2" x14ac:dyDescent="0.35">
      <c r="A11" s="3" t="s">
        <v>64</v>
      </c>
      <c r="B11" s="4">
        <v>18663.129999999997</v>
      </c>
    </row>
    <row r="12" spans="1:2" x14ac:dyDescent="0.35">
      <c r="A12" s="3" t="s">
        <v>122</v>
      </c>
      <c r="B12" s="4">
        <v>18065.3</v>
      </c>
    </row>
    <row r="13" spans="1:2" x14ac:dyDescent="0.35">
      <c r="A13" s="3" t="s">
        <v>46</v>
      </c>
      <c r="B13" s="4">
        <v>17741.589999999997</v>
      </c>
    </row>
    <row r="14" spans="1:2" x14ac:dyDescent="0.35">
      <c r="A14" s="3" t="s">
        <v>3634</v>
      </c>
      <c r="B14" s="4">
        <v>301178.76999999996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2CE3-E94B-4FB4-BC2B-E581549783FD}">
  <dimension ref="A3:B8"/>
  <sheetViews>
    <sheetView workbookViewId="0">
      <selection activeCell="L17" sqref="L17"/>
    </sheetView>
  </sheetViews>
  <sheetFormatPr defaultRowHeight="14.5" x14ac:dyDescent="0.35"/>
  <cols>
    <col min="1" max="1" width="14.7265625" bestFit="1" customWidth="1"/>
    <col min="2" max="2" width="18.6328125" bestFit="1" customWidth="1"/>
  </cols>
  <sheetData>
    <row r="3" spans="1:2" x14ac:dyDescent="0.35">
      <c r="A3" s="2" t="s">
        <v>3633</v>
      </c>
      <c r="B3" t="s">
        <v>3637</v>
      </c>
    </row>
    <row r="4" spans="1:2" x14ac:dyDescent="0.35">
      <c r="A4" s="3" t="s">
        <v>34</v>
      </c>
      <c r="B4" s="4">
        <v>797</v>
      </c>
    </row>
    <row r="5" spans="1:2" x14ac:dyDescent="0.35">
      <c r="A5" s="3" t="s">
        <v>39</v>
      </c>
      <c r="B5" s="4">
        <v>609</v>
      </c>
    </row>
    <row r="6" spans="1:2" x14ac:dyDescent="0.35">
      <c r="A6" s="3" t="s">
        <v>22</v>
      </c>
      <c r="B6" s="4">
        <v>301</v>
      </c>
    </row>
    <row r="7" spans="1:2" x14ac:dyDescent="0.35">
      <c r="A7" s="3" t="s">
        <v>56</v>
      </c>
      <c r="B7" s="4">
        <v>293</v>
      </c>
    </row>
    <row r="8" spans="1:2" x14ac:dyDescent="0.35">
      <c r="A8" s="3" t="s">
        <v>3634</v>
      </c>
      <c r="B8" s="4">
        <v>2000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F236-43E9-4957-BAFF-49CB391E529B}">
  <dimension ref="A3:B43"/>
  <sheetViews>
    <sheetView topLeftCell="A3" workbookViewId="0">
      <selection activeCell="M8" sqref="M8"/>
    </sheetView>
  </sheetViews>
  <sheetFormatPr defaultRowHeight="14.5" x14ac:dyDescent="0.35"/>
  <cols>
    <col min="1" max="1" width="12.36328125" bestFit="1" customWidth="1"/>
    <col min="2" max="2" width="16.6328125" bestFit="1" customWidth="1"/>
    <col min="8" max="8" width="8.54296875" customWidth="1"/>
  </cols>
  <sheetData>
    <row r="3" spans="1:2" x14ac:dyDescent="0.35">
      <c r="A3" s="2" t="s">
        <v>3633</v>
      </c>
      <c r="B3" t="s">
        <v>3635</v>
      </c>
    </row>
    <row r="4" spans="1:2" x14ac:dyDescent="0.35">
      <c r="A4" s="3" t="s">
        <v>3638</v>
      </c>
      <c r="B4" s="4">
        <v>164443.45000000001</v>
      </c>
    </row>
    <row r="5" spans="1:2" x14ac:dyDescent="0.35">
      <c r="A5" s="5" t="s">
        <v>3639</v>
      </c>
      <c r="B5" s="4">
        <v>11275.2</v>
      </c>
    </row>
    <row r="6" spans="1:2" x14ac:dyDescent="0.35">
      <c r="A6" s="5" t="s">
        <v>3640</v>
      </c>
      <c r="B6" s="4">
        <v>16943.669999999998</v>
      </c>
    </row>
    <row r="7" spans="1:2" x14ac:dyDescent="0.35">
      <c r="A7" s="5" t="s">
        <v>3641</v>
      </c>
      <c r="B7" s="4">
        <v>16056.450000000008</v>
      </c>
    </row>
    <row r="8" spans="1:2" x14ac:dyDescent="0.35">
      <c r="A8" s="5" t="s">
        <v>3642</v>
      </c>
      <c r="B8" s="4">
        <v>12185.000000000004</v>
      </c>
    </row>
    <row r="9" spans="1:2" x14ac:dyDescent="0.35">
      <c r="A9" s="5" t="s">
        <v>3643</v>
      </c>
      <c r="B9" s="4">
        <v>8218.4700000000012</v>
      </c>
    </row>
    <row r="10" spans="1:2" x14ac:dyDescent="0.35">
      <c r="A10" s="5" t="s">
        <v>3644</v>
      </c>
      <c r="B10" s="4">
        <v>16191.610000000002</v>
      </c>
    </row>
    <row r="11" spans="1:2" x14ac:dyDescent="0.35">
      <c r="A11" s="5" t="s">
        <v>3645</v>
      </c>
      <c r="B11" s="4">
        <v>15667.73</v>
      </c>
    </row>
    <row r="12" spans="1:2" x14ac:dyDescent="0.35">
      <c r="A12" s="5" t="s">
        <v>3646</v>
      </c>
      <c r="B12" s="4">
        <v>12971.069999999998</v>
      </c>
    </row>
    <row r="13" spans="1:2" x14ac:dyDescent="0.35">
      <c r="A13" s="5" t="s">
        <v>3647</v>
      </c>
      <c r="B13" s="4">
        <v>11989.72</v>
      </c>
    </row>
    <row r="14" spans="1:2" x14ac:dyDescent="0.35">
      <c r="A14" s="5" t="s">
        <v>3648</v>
      </c>
      <c r="B14" s="4">
        <v>17794.600000000006</v>
      </c>
    </row>
    <row r="15" spans="1:2" x14ac:dyDescent="0.35">
      <c r="A15" s="5" t="s">
        <v>3649</v>
      </c>
      <c r="B15" s="4">
        <v>8475.49</v>
      </c>
    </row>
    <row r="16" spans="1:2" x14ac:dyDescent="0.35">
      <c r="A16" s="5" t="s">
        <v>3650</v>
      </c>
      <c r="B16" s="4">
        <v>16674.439999999995</v>
      </c>
    </row>
    <row r="17" spans="1:2" x14ac:dyDescent="0.35">
      <c r="A17" s="3" t="s">
        <v>3651</v>
      </c>
      <c r="B17" s="4">
        <v>155150.73000000001</v>
      </c>
    </row>
    <row r="18" spans="1:2" x14ac:dyDescent="0.35">
      <c r="A18" s="5" t="s">
        <v>3639</v>
      </c>
      <c r="B18" s="4">
        <v>8015.2099999999991</v>
      </c>
    </row>
    <row r="19" spans="1:2" x14ac:dyDescent="0.35">
      <c r="A19" s="5" t="s">
        <v>3640</v>
      </c>
      <c r="B19" s="4">
        <v>11979.6</v>
      </c>
    </row>
    <row r="20" spans="1:2" x14ac:dyDescent="0.35">
      <c r="A20" s="5" t="s">
        <v>3641</v>
      </c>
      <c r="B20" s="4">
        <v>10550.109999999999</v>
      </c>
    </row>
    <row r="21" spans="1:2" x14ac:dyDescent="0.35">
      <c r="A21" s="5" t="s">
        <v>3642</v>
      </c>
      <c r="B21" s="4">
        <v>15615.06</v>
      </c>
    </row>
    <row r="22" spans="1:2" x14ac:dyDescent="0.35">
      <c r="A22" s="5" t="s">
        <v>3643</v>
      </c>
      <c r="B22" s="4">
        <v>16594.2</v>
      </c>
    </row>
    <row r="23" spans="1:2" x14ac:dyDescent="0.35">
      <c r="A23" s="5" t="s">
        <v>3644</v>
      </c>
      <c r="B23" s="4">
        <v>9435.1500000000033</v>
      </c>
    </row>
    <row r="24" spans="1:2" x14ac:dyDescent="0.35">
      <c r="A24" s="5" t="s">
        <v>3645</v>
      </c>
      <c r="B24" s="4">
        <v>14937.529999999997</v>
      </c>
    </row>
    <row r="25" spans="1:2" x14ac:dyDescent="0.35">
      <c r="A25" s="5" t="s">
        <v>3646</v>
      </c>
      <c r="B25" s="4">
        <v>9883.83</v>
      </c>
    </row>
    <row r="26" spans="1:2" x14ac:dyDescent="0.35">
      <c r="A26" s="5" t="s">
        <v>3647</v>
      </c>
      <c r="B26" s="4">
        <v>9636.380000000001</v>
      </c>
    </row>
    <row r="27" spans="1:2" x14ac:dyDescent="0.35">
      <c r="A27" s="5" t="s">
        <v>3648</v>
      </c>
      <c r="B27" s="4">
        <v>17426.050000000003</v>
      </c>
    </row>
    <row r="28" spans="1:2" x14ac:dyDescent="0.35">
      <c r="A28" s="5" t="s">
        <v>3649</v>
      </c>
      <c r="B28" s="4">
        <v>16413.269999999997</v>
      </c>
    </row>
    <row r="29" spans="1:2" x14ac:dyDescent="0.35">
      <c r="A29" s="5" t="s">
        <v>3650</v>
      </c>
      <c r="B29" s="4">
        <v>14664.34</v>
      </c>
    </row>
    <row r="30" spans="1:2" x14ac:dyDescent="0.35">
      <c r="A30" s="3" t="s">
        <v>3652</v>
      </c>
      <c r="B30" s="4">
        <v>164965.15999999997</v>
      </c>
    </row>
    <row r="31" spans="1:2" x14ac:dyDescent="0.35">
      <c r="A31" s="5" t="s">
        <v>3639</v>
      </c>
      <c r="B31" s="4">
        <v>12321.180000000002</v>
      </c>
    </row>
    <row r="32" spans="1:2" x14ac:dyDescent="0.35">
      <c r="A32" s="5" t="s">
        <v>3640</v>
      </c>
      <c r="B32" s="4">
        <v>7337.2799999999988</v>
      </c>
    </row>
    <row r="33" spans="1:2" x14ac:dyDescent="0.35">
      <c r="A33" s="5" t="s">
        <v>3641</v>
      </c>
      <c r="B33" s="4">
        <v>7772.3300000000017</v>
      </c>
    </row>
    <row r="34" spans="1:2" x14ac:dyDescent="0.35">
      <c r="A34" s="5" t="s">
        <v>3642</v>
      </c>
      <c r="B34" s="4">
        <v>16403.599999999995</v>
      </c>
    </row>
    <row r="35" spans="1:2" x14ac:dyDescent="0.35">
      <c r="A35" s="5" t="s">
        <v>3643</v>
      </c>
      <c r="B35" s="4">
        <v>17621.8</v>
      </c>
    </row>
    <row r="36" spans="1:2" x14ac:dyDescent="0.35">
      <c r="A36" s="5" t="s">
        <v>3644</v>
      </c>
      <c r="B36" s="4">
        <v>18068.089999999993</v>
      </c>
    </row>
    <row r="37" spans="1:2" x14ac:dyDescent="0.35">
      <c r="A37" s="5" t="s">
        <v>3645</v>
      </c>
      <c r="B37" s="4">
        <v>15065.960000000001</v>
      </c>
    </row>
    <row r="38" spans="1:2" x14ac:dyDescent="0.35">
      <c r="A38" s="5" t="s">
        <v>3646</v>
      </c>
      <c r="B38" s="4">
        <v>11302.109999999999</v>
      </c>
    </row>
    <row r="39" spans="1:2" x14ac:dyDescent="0.35">
      <c r="A39" s="5" t="s">
        <v>3647</v>
      </c>
      <c r="B39" s="4">
        <v>14375.95</v>
      </c>
    </row>
    <row r="40" spans="1:2" x14ac:dyDescent="0.35">
      <c r="A40" s="5" t="s">
        <v>3648</v>
      </c>
      <c r="B40" s="4">
        <v>15874.749999999998</v>
      </c>
    </row>
    <row r="41" spans="1:2" x14ac:dyDescent="0.35">
      <c r="A41" s="5" t="s">
        <v>3649</v>
      </c>
      <c r="B41" s="4">
        <v>14781.019999999999</v>
      </c>
    </row>
    <row r="42" spans="1:2" x14ac:dyDescent="0.35">
      <c r="A42" s="5" t="s">
        <v>3650</v>
      </c>
      <c r="B42" s="4">
        <v>14041.089999999998</v>
      </c>
    </row>
    <row r="43" spans="1:2" x14ac:dyDescent="0.35">
      <c r="A43" s="3" t="s">
        <v>3634</v>
      </c>
      <c r="B43" s="4">
        <v>484559.34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A5B6-F071-44D3-95B3-7F49712FB6B0}">
  <dimension ref="A3:B9"/>
  <sheetViews>
    <sheetView workbookViewId="0">
      <selection activeCell="K18" sqref="K18"/>
    </sheetView>
  </sheetViews>
  <sheetFormatPr defaultRowHeight="14.5" x14ac:dyDescent="0.35"/>
  <cols>
    <col min="1" max="1" width="17.81640625" bestFit="1" customWidth="1"/>
    <col min="2" max="2" width="19.08984375" bestFit="1" customWidth="1"/>
    <col min="3" max="3" width="11.81640625" bestFit="1" customWidth="1"/>
  </cols>
  <sheetData>
    <row r="3" spans="1:2" x14ac:dyDescent="0.35">
      <c r="A3" s="2" t="s">
        <v>3633</v>
      </c>
      <c r="B3" t="s">
        <v>3653</v>
      </c>
    </row>
    <row r="4" spans="1:2" x14ac:dyDescent="0.35">
      <c r="A4" s="3" t="s">
        <v>60</v>
      </c>
      <c r="B4" s="4">
        <v>7531.1500000000015</v>
      </c>
    </row>
    <row r="5" spans="1:2" x14ac:dyDescent="0.35">
      <c r="A5" s="3" t="s">
        <v>26</v>
      </c>
      <c r="B5" s="4">
        <v>6189.369999999999</v>
      </c>
    </row>
    <row r="6" spans="1:2" x14ac:dyDescent="0.35">
      <c r="A6" s="3" t="s">
        <v>54</v>
      </c>
      <c r="B6" s="4">
        <v>3327.04</v>
      </c>
    </row>
    <row r="7" spans="1:2" x14ac:dyDescent="0.35">
      <c r="A7" s="3" t="s">
        <v>19</v>
      </c>
      <c r="B7" s="4">
        <v>5806.8300000000008</v>
      </c>
    </row>
    <row r="8" spans="1:2" x14ac:dyDescent="0.35">
      <c r="A8" s="3" t="s">
        <v>68</v>
      </c>
      <c r="B8" s="4">
        <v>2949.85</v>
      </c>
    </row>
    <row r="9" spans="1:2" x14ac:dyDescent="0.35">
      <c r="A9" s="3" t="s">
        <v>3634</v>
      </c>
      <c r="B9" s="4">
        <v>25804.240000000002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84BE-D31F-49F4-B748-92A1CF5380EA}">
  <dimension ref="A3:C11"/>
  <sheetViews>
    <sheetView workbookViewId="0">
      <selection activeCell="H21" sqref="H21"/>
    </sheetView>
  </sheetViews>
  <sheetFormatPr defaultRowHeight="14.5" x14ac:dyDescent="0.35"/>
  <cols>
    <col min="1" max="1" width="12.36328125" bestFit="1" customWidth="1"/>
    <col min="2" max="2" width="16.6328125" bestFit="1" customWidth="1"/>
    <col min="3" max="3" width="11.81640625" bestFit="1" customWidth="1"/>
  </cols>
  <sheetData>
    <row r="3" spans="1:3" x14ac:dyDescent="0.35">
      <c r="A3" s="2" t="s">
        <v>3633</v>
      </c>
      <c r="B3" t="s">
        <v>3635</v>
      </c>
      <c r="C3" t="s">
        <v>3636</v>
      </c>
    </row>
    <row r="4" spans="1:3" x14ac:dyDescent="0.35">
      <c r="A4" s="3">
        <v>0</v>
      </c>
      <c r="B4" s="4">
        <v>130966.21999999997</v>
      </c>
      <c r="C4" s="4">
        <v>50705.279999999962</v>
      </c>
    </row>
    <row r="5" spans="1:3" x14ac:dyDescent="0.35">
      <c r="A5" s="3">
        <v>5</v>
      </c>
      <c r="B5" s="4">
        <v>130452.23000000001</v>
      </c>
      <c r="C5" s="4">
        <v>46129.150000000009</v>
      </c>
    </row>
    <row r="6" spans="1:3" x14ac:dyDescent="0.35">
      <c r="A6" s="3">
        <v>10</v>
      </c>
      <c r="B6" s="4">
        <v>103136.10999999997</v>
      </c>
      <c r="C6" s="4">
        <v>32932.51</v>
      </c>
    </row>
    <row r="7" spans="1:3" x14ac:dyDescent="0.35">
      <c r="A7" s="3">
        <v>15</v>
      </c>
      <c r="B7" s="4">
        <v>61074.439999999988</v>
      </c>
      <c r="C7" s="4">
        <v>16503.099999999999</v>
      </c>
    </row>
    <row r="8" spans="1:3" x14ac:dyDescent="0.35">
      <c r="A8" s="3">
        <v>20</v>
      </c>
      <c r="B8" s="4">
        <v>40229.760000000009</v>
      </c>
      <c r="C8" s="4">
        <v>9305.380000000001</v>
      </c>
    </row>
    <row r="9" spans="1:3" x14ac:dyDescent="0.35">
      <c r="A9" s="3">
        <v>25</v>
      </c>
      <c r="B9" s="4">
        <v>13272.269999999999</v>
      </c>
      <c r="C9" s="4">
        <v>2568.58</v>
      </c>
    </row>
    <row r="10" spans="1:3" x14ac:dyDescent="0.35">
      <c r="A10" s="3">
        <v>30</v>
      </c>
      <c r="B10" s="4">
        <v>5428.31</v>
      </c>
      <c r="C10" s="4">
        <v>728.32</v>
      </c>
    </row>
    <row r="11" spans="1:3" x14ac:dyDescent="0.35">
      <c r="A11" s="3" t="s">
        <v>3634</v>
      </c>
      <c r="B11" s="4">
        <v>484559.33999999997</v>
      </c>
      <c r="C11" s="4">
        <v>158872.31999999998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workbookViewId="0">
      <selection activeCell="D8" sqref="D8"/>
    </sheetView>
  </sheetViews>
  <sheetFormatPr defaultRowHeight="14.5" x14ac:dyDescent="0.35"/>
  <cols>
    <col min="1" max="1" width="78.08984375" customWidth="1"/>
    <col min="2" max="2" width="12.6328125" bestFit="1" customWidth="1"/>
  </cols>
  <sheetData>
    <row r="1" spans="1:9" x14ac:dyDescent="0.35">
      <c r="A1" s="15" t="s">
        <v>3625</v>
      </c>
      <c r="B1" s="15" t="s">
        <v>3626</v>
      </c>
    </row>
    <row r="2" spans="1:9" x14ac:dyDescent="0.35">
      <c r="A2" s="8" t="s">
        <v>3627</v>
      </c>
      <c r="B2" s="8">
        <f>COUNTA(SalesData[Order_ID])</f>
        <v>2000</v>
      </c>
    </row>
    <row r="3" spans="1:9" x14ac:dyDescent="0.35">
      <c r="A3" s="8" t="s">
        <v>3628</v>
      </c>
      <c r="B3" s="8">
        <f>SUM(SalesData[Quantity])</f>
        <v>7115</v>
      </c>
    </row>
    <row r="4" spans="1:9" x14ac:dyDescent="0.35">
      <c r="A4" s="8" t="s">
        <v>3629</v>
      </c>
      <c r="B4" s="9">
        <f>SUM(SalesData[Total_Sales])</f>
        <v>484559.33999999997</v>
      </c>
    </row>
    <row r="5" spans="1:9" x14ac:dyDescent="0.35">
      <c r="A5" s="13" t="s">
        <v>3630</v>
      </c>
      <c r="B5" s="9">
        <f>SUM(SalesData[Profit])</f>
        <v>158872.31999999995</v>
      </c>
    </row>
    <row r="6" spans="1:9" x14ac:dyDescent="0.35">
      <c r="A6" s="8" t="s">
        <v>3631</v>
      </c>
      <c r="B6" s="12">
        <f>AVERAGE(SalesData[Total_Sales])</f>
        <v>242.27966999999998</v>
      </c>
    </row>
    <row r="7" spans="1:9" x14ac:dyDescent="0.35">
      <c r="A7" s="14" t="s">
        <v>3632</v>
      </c>
      <c r="B7" s="10">
        <f>AVERAGE(SalesData[Profit])</f>
        <v>79.436159999999973</v>
      </c>
    </row>
    <row r="9" spans="1:9" ht="21" x14ac:dyDescent="0.5">
      <c r="A9" s="16" t="s">
        <v>3654</v>
      </c>
    </row>
    <row r="10" spans="1:9" ht="19" customHeight="1" thickBot="1" x14ac:dyDescent="0.4">
      <c r="A10" s="6" t="s">
        <v>3655</v>
      </c>
    </row>
    <row r="11" spans="1:9" ht="18.5" customHeight="1" thickBot="1" x14ac:dyDescent="0.4">
      <c r="A11" s="6" t="s">
        <v>3656</v>
      </c>
      <c r="I11" s="11"/>
    </row>
    <row r="12" spans="1:9" ht="23.5" customHeight="1" x14ac:dyDescent="0.35">
      <c r="A12" s="6" t="s">
        <v>3657</v>
      </c>
    </row>
    <row r="13" spans="1:9" ht="23" customHeight="1" x14ac:dyDescent="0.35">
      <c r="A13" s="6" t="s">
        <v>3658</v>
      </c>
    </row>
    <row r="14" spans="1:9" ht="23.5" customHeight="1" x14ac:dyDescent="0.35">
      <c r="A14" s="6" t="s">
        <v>3659</v>
      </c>
    </row>
    <row r="15" spans="1:9" ht="21.5" customHeight="1" x14ac:dyDescent="0.35">
      <c r="A15" s="6" t="s">
        <v>3660</v>
      </c>
    </row>
    <row r="16" spans="1:9" ht="22" customHeight="1" x14ac:dyDescent="0.35">
      <c r="A16" s="6" t="s">
        <v>3661</v>
      </c>
    </row>
    <row r="17" spans="1:1" ht="20" customHeight="1" x14ac:dyDescent="0.35">
      <c r="A17" s="6" t="s">
        <v>3662</v>
      </c>
    </row>
    <row r="18" spans="1:1" ht="23" customHeight="1" x14ac:dyDescent="0.35">
      <c r="A18" s="7" t="s">
        <v>3663</v>
      </c>
    </row>
    <row r="19" spans="1:1" ht="21.5" customHeight="1" x14ac:dyDescent="0.35">
      <c r="A19" s="6" t="s">
        <v>3664</v>
      </c>
    </row>
    <row r="20" spans="1:1" ht="22.5" customHeight="1" x14ac:dyDescent="0.35">
      <c r="A20" s="6" t="s">
        <v>3665</v>
      </c>
    </row>
    <row r="21" spans="1:1" ht="21" customHeight="1" x14ac:dyDescent="0.35">
      <c r="A21" s="6" t="s">
        <v>3666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SalesData</vt:lpstr>
      <vt:lpstr>Sales by Product Category</vt:lpstr>
      <vt:lpstr>Profit by Product category</vt:lpstr>
      <vt:lpstr>Sales and Profit by Region</vt:lpstr>
      <vt:lpstr>Sales and Profit by Country</vt:lpstr>
      <vt:lpstr>Customer Segment </vt:lpstr>
      <vt:lpstr>Sales by Product Name</vt:lpstr>
      <vt:lpstr>Payment Method Analysis</vt:lpstr>
      <vt:lpstr>Monthly Sales Analysis</vt:lpstr>
      <vt:lpstr>Shipping cost Analysis</vt:lpstr>
      <vt:lpstr>Sales and Profit by Discount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priyanka18072004@outlook.com</cp:lastModifiedBy>
  <dcterms:created xsi:type="dcterms:W3CDTF">2026-09-29T09:10:45Z</dcterms:created>
  <dcterms:modified xsi:type="dcterms:W3CDTF">2026-09-30T16:05:31Z</dcterms:modified>
</cp:coreProperties>
</file>